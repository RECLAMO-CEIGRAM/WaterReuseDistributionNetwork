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clamoGIS\0205 dist, paper\"/>
    </mc:Choice>
  </mc:AlternateContent>
  <bookViews>
    <workbookView xWindow="0" yWindow="0" windowWidth="15135" windowHeight="7620" tabRatio="830" activeTab="1"/>
  </bookViews>
  <sheets>
    <sheet name="Constants" sheetId="14" r:id="rId1"/>
    <sheet name="Input" sheetId="12" r:id="rId2"/>
    <sheet name="Output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5" i="12" l="1"/>
  <c r="K34" i="12"/>
  <c r="H13" i="12" l="1"/>
  <c r="G13" i="12"/>
  <c r="K13" i="12" l="1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G33" i="12" l="1"/>
  <c r="G14" i="12"/>
  <c r="G20" i="12"/>
  <c r="G29" i="12"/>
  <c r="G28" i="12"/>
  <c r="G21" i="12"/>
  <c r="G15" i="12"/>
  <c r="G19" i="12"/>
  <c r="G23" i="12"/>
  <c r="G17" i="12"/>
  <c r="G27" i="12"/>
  <c r="G35" i="12"/>
  <c r="G32" i="12"/>
  <c r="G18" i="12"/>
  <c r="G16" i="12"/>
  <c r="G25" i="12"/>
  <c r="G22" i="12"/>
  <c r="G30" i="12"/>
  <c r="G26" i="12"/>
  <c r="G24" i="12"/>
  <c r="G31" i="12"/>
  <c r="G34" i="12"/>
  <c r="I33" i="12"/>
  <c r="I14" i="12"/>
  <c r="I20" i="12"/>
  <c r="I29" i="12"/>
  <c r="I13" i="12"/>
  <c r="I28" i="12"/>
  <c r="I21" i="12"/>
  <c r="I15" i="12"/>
  <c r="I19" i="12"/>
  <c r="I23" i="12"/>
  <c r="I17" i="12"/>
  <c r="I27" i="12"/>
  <c r="I35" i="12"/>
  <c r="I32" i="12"/>
  <c r="I18" i="12"/>
  <c r="I16" i="12"/>
  <c r="I25" i="12"/>
  <c r="I22" i="12"/>
  <c r="I30" i="12"/>
  <c r="I26" i="12"/>
  <c r="I24" i="12"/>
  <c r="I31" i="12"/>
  <c r="I34" i="12"/>
  <c r="K14" i="12" l="1"/>
  <c r="K15" i="12"/>
  <c r="K18" i="12"/>
  <c r="K21" i="12"/>
  <c r="K23" i="12"/>
  <c r="K25" i="12"/>
  <c r="K28" i="12"/>
  <c r="K29" i="12"/>
  <c r="K31" i="12"/>
  <c r="K33" i="12"/>
  <c r="K27" i="12"/>
  <c r="K30" i="12"/>
  <c r="K16" i="12"/>
  <c r="K19" i="12"/>
  <c r="K24" i="12"/>
  <c r="K26" i="12"/>
  <c r="K32" i="12"/>
  <c r="K17" i="12"/>
  <c r="K22" i="12"/>
  <c r="K20" i="12"/>
</calcChain>
</file>

<file path=xl/sharedStrings.xml><?xml version="1.0" encoding="utf-8"?>
<sst xmlns="http://schemas.openxmlformats.org/spreadsheetml/2006/main" count="130" uniqueCount="73">
  <si>
    <t>X</t>
  </si>
  <si>
    <t>Y</t>
  </si>
  <si>
    <t>Water Demand</t>
  </si>
  <si>
    <t>Unit Water Demand</t>
  </si>
  <si>
    <t>m3/year</t>
  </si>
  <si>
    <t>TOMELLOSO</t>
  </si>
  <si>
    <t>Pipe_num</t>
  </si>
  <si>
    <t>Elev_ini</t>
  </si>
  <si>
    <t>Elev_end</t>
  </si>
  <si>
    <t>Geom_head</t>
  </si>
  <si>
    <t>Pipe_end_Served_Area_ha</t>
  </si>
  <si>
    <t>Pipe_end_served_volume</t>
  </si>
  <si>
    <t>Pipe_end_cumulative_length</t>
  </si>
  <si>
    <t>Pipe_end_cumulative_area</t>
  </si>
  <si>
    <t>Pipe_end_cumul_vol</t>
  </si>
  <si>
    <t>Father_pipe</t>
  </si>
  <si>
    <t>parent_count</t>
  </si>
  <si>
    <t>Child_count</t>
  </si>
  <si>
    <t>Areaha</t>
  </si>
  <si>
    <t>wwtp</t>
  </si>
  <si>
    <t>ClientID</t>
  </si>
  <si>
    <t>Benefit</t>
  </si>
  <si>
    <t>Water Offer</t>
  </si>
  <si>
    <t>-</t>
  </si>
  <si>
    <t>m</t>
  </si>
  <si>
    <t>EUR/year</t>
  </si>
  <si>
    <t>ClSeqNum</t>
  </si>
  <si>
    <t>Aux</t>
  </si>
  <si>
    <t>CumulWatDem</t>
  </si>
  <si>
    <t>UnitBenefit</t>
  </si>
  <si>
    <t>Irrigation pressure</t>
  </si>
  <si>
    <t>m of water column</t>
  </si>
  <si>
    <t>Water density</t>
  </si>
  <si>
    <t>kg/m3</t>
  </si>
  <si>
    <t>Gravity</t>
  </si>
  <si>
    <t>m/s2</t>
  </si>
  <si>
    <t>Pipe linear loss</t>
  </si>
  <si>
    <t>m head per m length</t>
  </si>
  <si>
    <t>Price of electricity</t>
  </si>
  <si>
    <t>Pipe unit cost</t>
  </si>
  <si>
    <t>EUR/KWh</t>
  </si>
  <si>
    <t>EUR/m</t>
  </si>
  <si>
    <t>Discount rate</t>
  </si>
  <si>
    <t>Pipe Lifetime</t>
  </si>
  <si>
    <t>years</t>
  </si>
  <si>
    <t>Pump efficiency</t>
  </si>
  <si>
    <t>Constant</t>
  </si>
  <si>
    <t>Value</t>
  </si>
  <si>
    <t>Units</t>
  </si>
  <si>
    <t>deg</t>
  </si>
  <si>
    <t>ha</t>
  </si>
  <si>
    <t>Pipe length</t>
  </si>
  <si>
    <t>Orientation</t>
  </si>
  <si>
    <t>Optimization criterion</t>
  </si>
  <si>
    <t>Criteria</t>
  </si>
  <si>
    <t>Parameters for Maximum benefit-cost:</t>
  </si>
  <si>
    <t>aux1</t>
  </si>
  <si>
    <t>aux2</t>
  </si>
  <si>
    <t>aux3</t>
  </si>
  <si>
    <t>aux4</t>
  </si>
  <si>
    <t>m3/ha/year</t>
  </si>
  <si>
    <t>EUR/ha/year</t>
  </si>
  <si>
    <t>Maximum (Benefit-Cost)</t>
  </si>
  <si>
    <t>Minimum Distance</t>
  </si>
  <si>
    <t>WRPname</t>
  </si>
  <si>
    <t>Elevation</t>
  </si>
  <si>
    <t>Rwrp</t>
  </si>
  <si>
    <t>X_ini</t>
  </si>
  <si>
    <t>Y_ini</t>
  </si>
  <si>
    <t>X_end</t>
  </si>
  <si>
    <t>Y_end</t>
  </si>
  <si>
    <t>From(ini)</t>
  </si>
  <si>
    <t>To(end)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</si>
</sst>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-* #,##0_-;\-* #,##0_-;_-* &quot;-&quot;??_-;_-@_-"/>
    <numFmt numFmtId="165" formatCode="[$-F400]h:mm:ss\ AM/PM"/>
    <numFmt numFmtId="166" formatCode="0.0"/>
    <numFmt numFmtId="167" formatCode="_-* #,##0.0_-;\-* #,##0.0_-;_-* &quot;-&quot;??_-;_-@_-"/>
    <numFmt numFmtId="168" formatCode="#,##0_ ;\-#,##0\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 tint="-0.249977111117893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9BC2E6"/>
      </top>
      <bottom style="thin">
        <color theme="4" tint="0.39997558519241921"/>
      </bottom>
      <diagonal/>
    </border>
    <border>
      <left style="thin">
        <color rgb="FF9BC2E6"/>
      </left>
      <right/>
      <top style="thin">
        <color theme="4" tint="0.39997558519241921"/>
      </top>
      <bottom/>
      <diagonal/>
    </border>
    <border>
      <left/>
      <right style="thin">
        <color rgb="FF9BC2E6"/>
      </right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164" fontId="0" fillId="0" borderId="0" xfId="1" applyNumberFormat="1" applyFont="1"/>
    <xf numFmtId="1" fontId="0" fillId="0" borderId="0" xfId="0" applyNumberFormat="1"/>
    <xf numFmtId="166" fontId="0" fillId="0" borderId="0" xfId="0" applyNumberFormat="1"/>
    <xf numFmtId="0" fontId="0" fillId="3" borderId="2" xfId="0" applyFont="1" applyFill="1" applyBorder="1"/>
    <xf numFmtId="164" fontId="0" fillId="0" borderId="1" xfId="1" applyNumberFormat="1" applyFont="1" applyBorder="1"/>
    <xf numFmtId="0" fontId="0" fillId="0" borderId="0" xfId="0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164" fontId="0" fillId="3" borderId="2" xfId="1" applyNumberFormat="1" applyFont="1" applyFill="1" applyBorder="1"/>
    <xf numFmtId="0" fontId="0" fillId="3" borderId="4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5" borderId="0" xfId="0" applyFont="1" applyFill="1" applyBorder="1"/>
    <xf numFmtId="0" fontId="2" fillId="6" borderId="0" xfId="0" applyFont="1" applyFill="1" applyBorder="1"/>
    <xf numFmtId="164" fontId="2" fillId="6" borderId="0" xfId="1" applyNumberFormat="1" applyFont="1" applyFill="1" applyBorder="1"/>
    <xf numFmtId="0" fontId="0" fillId="8" borderId="0" xfId="0" applyFill="1" applyAlignment="1">
      <alignment wrapText="1"/>
    </xf>
    <xf numFmtId="0" fontId="0" fillId="8" borderId="0" xfId="0" applyFill="1"/>
    <xf numFmtId="166" fontId="0" fillId="8" borderId="0" xfId="0" applyNumberFormat="1" applyFill="1" applyAlignment="1">
      <alignment wrapText="1"/>
    </xf>
    <xf numFmtId="1" fontId="0" fillId="8" borderId="0" xfId="0" applyNumberFormat="1" applyFill="1" applyAlignment="1">
      <alignment wrapText="1"/>
    </xf>
    <xf numFmtId="165" fontId="0" fillId="8" borderId="0" xfId="0" applyNumberFormat="1" applyFill="1" applyAlignment="1">
      <alignment wrapText="1"/>
    </xf>
    <xf numFmtId="0" fontId="0" fillId="7" borderId="0" xfId="0" applyFill="1"/>
    <xf numFmtId="165" fontId="0" fillId="7" borderId="0" xfId="0" applyNumberFormat="1" applyFill="1"/>
    <xf numFmtId="0" fontId="0" fillId="7" borderId="0" xfId="0" applyFill="1" applyAlignment="1">
      <alignment wrapText="1"/>
    </xf>
    <xf numFmtId="1" fontId="0" fillId="7" borderId="0" xfId="0" applyNumberFormat="1" applyFill="1"/>
    <xf numFmtId="164" fontId="0" fillId="7" borderId="0" xfId="1" applyNumberFormat="1" applyFont="1" applyFill="1"/>
    <xf numFmtId="166" fontId="0" fillId="7" borderId="0" xfId="0" applyNumberFormat="1" applyFill="1"/>
    <xf numFmtId="0" fontId="0" fillId="0" borderId="0" xfId="0" applyFill="1" applyAlignment="1">
      <alignment horizontal="center"/>
    </xf>
    <xf numFmtId="165" fontId="0" fillId="0" borderId="0" xfId="0" applyNumberFormat="1" applyFill="1" applyAlignment="1">
      <alignment horizontal="center"/>
    </xf>
    <xf numFmtId="168" fontId="0" fillId="3" borderId="2" xfId="1" applyNumberFormat="1" applyFont="1" applyFill="1" applyBorder="1"/>
    <xf numFmtId="0" fontId="2" fillId="9" borderId="0" xfId="0" applyFont="1" applyFill="1" applyBorder="1" applyAlignment="1">
      <alignment horizontal="center"/>
    </xf>
    <xf numFmtId="164" fontId="0" fillId="7" borderId="0" xfId="0" applyNumberFormat="1" applyFill="1"/>
    <xf numFmtId="164" fontId="4" fillId="7" borderId="0" xfId="0" applyNumberFormat="1" applyFont="1" applyFill="1"/>
    <xf numFmtId="168" fontId="0" fillId="7" borderId="0" xfId="0" applyNumberFormat="1" applyFill="1"/>
    <xf numFmtId="0" fontId="0" fillId="11" borderId="6" xfId="0" applyFont="1" applyFill="1" applyBorder="1"/>
    <xf numFmtId="0" fontId="0" fillId="11" borderId="7" xfId="0" applyFont="1" applyFill="1" applyBorder="1"/>
    <xf numFmtId="0" fontId="0" fillId="11" borderId="8" xfId="0" applyFont="1" applyFill="1" applyBorder="1"/>
    <xf numFmtId="0" fontId="2" fillId="10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0" borderId="11" xfId="0" applyFont="1" applyFill="1" applyBorder="1" applyAlignment="1">
      <alignment horizontal="center"/>
    </xf>
    <xf numFmtId="0" fontId="5" fillId="11" borderId="9" xfId="0" applyFont="1" applyFill="1" applyBorder="1"/>
    <xf numFmtId="0" fontId="5" fillId="11" borderId="10" xfId="0" applyFont="1" applyFill="1" applyBorder="1"/>
    <xf numFmtId="0" fontId="5" fillId="11" borderId="11" xfId="0" applyFont="1" applyFill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0" fillId="11" borderId="9" xfId="0" applyFont="1" applyFill="1" applyBorder="1"/>
    <xf numFmtId="0" fontId="0" fillId="11" borderId="10" xfId="0" applyFont="1" applyFill="1" applyBorder="1"/>
    <xf numFmtId="0" fontId="0" fillId="11" borderId="11" xfId="0" applyFont="1" applyFill="1" applyBorder="1"/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2" fontId="0" fillId="0" borderId="10" xfId="2" applyNumberFormat="1" applyFont="1" applyBorder="1"/>
    <xf numFmtId="0" fontId="0" fillId="12" borderId="2" xfId="0" applyFont="1" applyFill="1" applyBorder="1"/>
    <xf numFmtId="164" fontId="0" fillId="12" borderId="2" xfId="0" applyNumberFormat="1" applyFont="1" applyFill="1" applyBorder="1"/>
    <xf numFmtId="167" fontId="0" fillId="12" borderId="2" xfId="1" applyNumberFormat="1" applyFont="1" applyFill="1" applyBorder="1"/>
    <xf numFmtId="0" fontId="0" fillId="12" borderId="5" xfId="0" applyFont="1" applyFill="1" applyBorder="1"/>
  </cellXfs>
  <cellStyles count="3">
    <cellStyle name="Millares" xfId="1" builtinId="3"/>
    <cellStyle name="Normal" xfId="0" builtinId="0"/>
    <cellStyle name="Porcentaje" xfId="2" builtinId="5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_-* #,##0.0_-;\-* #,##0.0_-;_-* &quot;-&quot;??_-;_-@_-"/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0" tint="-0.249977111117893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9BC2E6"/>
        </left>
        <right style="thin">
          <color rgb="FF9BC2E6"/>
        </right>
        <top style="thin">
          <color rgb="FF9BC2E6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0" tint="-0.249977111117893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0099"/>
      <color rgb="FFEE30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66675</xdr:rowOff>
        </xdr:from>
        <xdr:to>
          <xdr:col>3</xdr:col>
          <xdr:colOff>733425</xdr:colOff>
          <xdr:row>4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46800" rIns="90000" bIns="4680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pipe network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9" name="Tabla9" displayName="Tabla9" ref="B12:S65" totalsRowShown="0" headerRowDxfId="20" dataDxfId="19" tableBorderDxfId="18">
  <autoFilter ref="B12:S65"/>
  <sortState ref="B13:S209">
    <sortCondition ref="I12:I209"/>
  </sortState>
  <tableColumns count="18">
    <tableColumn id="1" name="ClSeqNum" dataDxfId="17"/>
    <tableColumn id="2" name="ClientID" dataDxfId="16"/>
    <tableColumn id="3" name="X" dataDxfId="15" dataCellStyle="Millares"/>
    <tableColumn id="4" name="Y" dataDxfId="14" dataCellStyle="Millares"/>
    <tableColumn id="5" name="Elevation" dataDxfId="13" dataCellStyle="Millares"/>
    <tableColumn id="6" name="Water Demand" dataDxfId="12" dataCellStyle="Millares">
      <calculatedColumnFormula>Tabla9[[#This Row],[Areaha]]*Tabla9[[#This Row],[Unit Water Demand]]</calculatedColumnFormula>
    </tableColumn>
    <tableColumn id="7" name="Benefit" dataDxfId="11"/>
    <tableColumn id="8" name="Rwrp" dataDxfId="10" dataCellStyle="Millares">
      <calculatedColumnFormula>SQRT((Tabla9[[#This Row],[X]]-$D$8)^2+(Tabla9[[#This Row],[Y]]-$E$8)^2)</calculatedColumnFormula>
    </tableColumn>
    <tableColumn id="9" name="Aux" dataDxfId="9"/>
    <tableColumn id="10" name="CumulWatDem" dataDxfId="8">
      <calculatedColumnFormula>SUM($G$13:G13)</calculatedColumnFormula>
    </tableColumn>
    <tableColumn id="11" name="wwtp" dataDxfId="7"/>
    <tableColumn id="12" name="aux1" dataDxfId="6"/>
    <tableColumn id="13" name="aux2" dataDxfId="5"/>
    <tableColumn id="14" name="aux3" dataDxfId="4"/>
    <tableColumn id="15" name="aux4" dataDxfId="3"/>
    <tableColumn id="16" name="Areaha" dataDxfId="2" dataCellStyle="Millares"/>
    <tableColumn id="17" name="Unit Water Demand" dataDxfId="1"/>
    <tableColumn id="18" name="UnitBenef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44"/>
  <sheetViews>
    <sheetView zoomScale="115" zoomScaleNormal="115" workbookViewId="0">
      <selection activeCell="F10" sqref="F10"/>
    </sheetView>
  </sheetViews>
  <sheetFormatPr baseColWidth="10" defaultRowHeight="15" x14ac:dyDescent="0.25"/>
  <cols>
    <col min="1" max="1" width="4.7109375" style="21" customWidth="1"/>
    <col min="2" max="2" width="35.85546875" style="21" bestFit="1" customWidth="1"/>
    <col min="3" max="3" width="21.42578125" style="21" bestFit="1" customWidth="1"/>
    <col min="4" max="4" width="19.42578125" style="21" bestFit="1" customWidth="1"/>
    <col min="5" max="16384" width="11.42578125" style="21"/>
  </cols>
  <sheetData>
    <row r="1" spans="1:4" x14ac:dyDescent="0.25">
      <c r="A1" s="21">
        <v>1</v>
      </c>
      <c r="B1" s="21">
        <v>2</v>
      </c>
      <c r="C1" s="21">
        <v>3</v>
      </c>
      <c r="D1" s="21">
        <v>4</v>
      </c>
    </row>
    <row r="2" spans="1:4" x14ac:dyDescent="0.25">
      <c r="A2" s="21">
        <v>2</v>
      </c>
    </row>
    <row r="3" spans="1:4" x14ac:dyDescent="0.25">
      <c r="A3" s="21">
        <v>3</v>
      </c>
    </row>
    <row r="4" spans="1:4" x14ac:dyDescent="0.25">
      <c r="A4" s="21">
        <v>4</v>
      </c>
      <c r="B4" s="49" t="s">
        <v>53</v>
      </c>
      <c r="C4" s="50" t="s">
        <v>62</v>
      </c>
    </row>
    <row r="5" spans="1:4" x14ac:dyDescent="0.25">
      <c r="A5" s="21">
        <v>5</v>
      </c>
    </row>
    <row r="6" spans="1:4" x14ac:dyDescent="0.25">
      <c r="A6" s="21">
        <v>6</v>
      </c>
    </row>
    <row r="7" spans="1:4" x14ac:dyDescent="0.25">
      <c r="A7" s="21">
        <v>7</v>
      </c>
      <c r="B7" s="37" t="s">
        <v>46</v>
      </c>
      <c r="C7" s="38" t="s">
        <v>47</v>
      </c>
      <c r="D7" s="39" t="s">
        <v>48</v>
      </c>
    </row>
    <row r="8" spans="1:4" x14ac:dyDescent="0.25">
      <c r="A8" s="21">
        <v>8</v>
      </c>
      <c r="B8" s="40" t="s">
        <v>32</v>
      </c>
      <c r="C8" s="41">
        <v>1000</v>
      </c>
      <c r="D8" s="42" t="s">
        <v>33</v>
      </c>
    </row>
    <row r="9" spans="1:4" x14ac:dyDescent="0.25">
      <c r="A9" s="21">
        <v>9</v>
      </c>
      <c r="B9" s="43" t="s">
        <v>34</v>
      </c>
      <c r="C9" s="44">
        <v>9.81</v>
      </c>
      <c r="D9" s="45" t="s">
        <v>35</v>
      </c>
    </row>
    <row r="10" spans="1:4" x14ac:dyDescent="0.25">
      <c r="A10" s="21">
        <v>10</v>
      </c>
      <c r="B10" s="46"/>
      <c r="C10" s="47"/>
      <c r="D10" s="48"/>
    </row>
    <row r="11" spans="1:4" x14ac:dyDescent="0.25">
      <c r="A11" s="21">
        <v>11</v>
      </c>
    </row>
    <row r="12" spans="1:4" x14ac:dyDescent="0.25">
      <c r="A12" s="21">
        <v>12</v>
      </c>
      <c r="B12" s="46" t="s">
        <v>55</v>
      </c>
      <c r="C12" s="47"/>
      <c r="D12" s="48"/>
    </row>
    <row r="13" spans="1:4" x14ac:dyDescent="0.25">
      <c r="A13" s="21">
        <v>13</v>
      </c>
      <c r="B13" s="49" t="s">
        <v>36</v>
      </c>
      <c r="C13" s="50">
        <v>0.01</v>
      </c>
      <c r="D13" s="51" t="s">
        <v>37</v>
      </c>
    </row>
    <row r="14" spans="1:4" x14ac:dyDescent="0.25">
      <c r="A14" s="21">
        <v>14</v>
      </c>
      <c r="B14" s="46"/>
      <c r="C14" s="47"/>
      <c r="D14" s="48"/>
    </row>
    <row r="15" spans="1:4" x14ac:dyDescent="0.25">
      <c r="A15" s="21">
        <v>15</v>
      </c>
      <c r="B15" s="49" t="s">
        <v>38</v>
      </c>
      <c r="C15" s="50">
        <v>0.1</v>
      </c>
      <c r="D15" s="51" t="s">
        <v>40</v>
      </c>
    </row>
    <row r="16" spans="1:4" x14ac:dyDescent="0.25">
      <c r="A16" s="21">
        <v>16</v>
      </c>
      <c r="B16" s="46"/>
      <c r="C16" s="47"/>
      <c r="D16" s="48"/>
    </row>
    <row r="17" spans="1:4" x14ac:dyDescent="0.25">
      <c r="A17" s="21">
        <v>17</v>
      </c>
      <c r="B17" s="49" t="s">
        <v>42</v>
      </c>
      <c r="C17" s="52">
        <v>0.03</v>
      </c>
      <c r="D17" s="51" t="s">
        <v>23</v>
      </c>
    </row>
    <row r="18" spans="1:4" x14ac:dyDescent="0.25">
      <c r="A18" s="21">
        <v>18</v>
      </c>
      <c r="B18" s="46" t="s">
        <v>43</v>
      </c>
      <c r="C18" s="47">
        <v>50</v>
      </c>
      <c r="D18" s="48" t="s">
        <v>44</v>
      </c>
    </row>
    <row r="19" spans="1:4" x14ac:dyDescent="0.25">
      <c r="A19" s="21">
        <v>19</v>
      </c>
      <c r="B19" s="49"/>
      <c r="C19" s="50"/>
      <c r="D19" s="51"/>
    </row>
    <row r="20" spans="1:4" x14ac:dyDescent="0.25">
      <c r="A20" s="21">
        <v>20</v>
      </c>
      <c r="B20" s="46" t="s">
        <v>45</v>
      </c>
      <c r="C20" s="47">
        <v>0.75</v>
      </c>
      <c r="D20" s="48" t="s">
        <v>23</v>
      </c>
    </row>
    <row r="21" spans="1:4" x14ac:dyDescent="0.25">
      <c r="A21" s="21">
        <v>21</v>
      </c>
      <c r="B21" s="49"/>
      <c r="C21" s="50"/>
      <c r="D21" s="51"/>
    </row>
    <row r="22" spans="1:4" x14ac:dyDescent="0.25">
      <c r="A22" s="21">
        <v>22</v>
      </c>
      <c r="B22" s="46" t="s">
        <v>30</v>
      </c>
      <c r="C22" s="47">
        <v>30</v>
      </c>
      <c r="D22" s="48" t="s">
        <v>31</v>
      </c>
    </row>
    <row r="23" spans="1:4" x14ac:dyDescent="0.25">
      <c r="A23" s="21">
        <v>23</v>
      </c>
      <c r="B23" s="49"/>
      <c r="C23" s="50"/>
      <c r="D23" s="51"/>
    </row>
    <row r="24" spans="1:4" x14ac:dyDescent="0.25">
      <c r="A24" s="21">
        <v>24</v>
      </c>
      <c r="B24" s="34" t="s">
        <v>39</v>
      </c>
      <c r="C24" s="35">
        <v>50</v>
      </c>
      <c r="D24" s="36" t="s">
        <v>41</v>
      </c>
    </row>
    <row r="42" spans="3:3" x14ac:dyDescent="0.25">
      <c r="C42" s="21" t="s">
        <v>54</v>
      </c>
    </row>
    <row r="43" spans="3:3" x14ac:dyDescent="0.25">
      <c r="C43" s="21" t="s">
        <v>63</v>
      </c>
    </row>
    <row r="44" spans="3:3" x14ac:dyDescent="0.25">
      <c r="C44" s="21" t="s">
        <v>62</v>
      </c>
    </row>
  </sheetData>
  <dataValidations count="1">
    <dataValidation type="list" allowBlank="1" showInputMessage="1" showErrorMessage="1" sqref="C4">
      <formula1>C43:C44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theme="9"/>
  </sheetPr>
  <dimension ref="A1:Y65"/>
  <sheetViews>
    <sheetView tabSelected="1" zoomScale="70" zoomScaleNormal="70" workbookViewId="0">
      <selection activeCell="D17" sqref="D17"/>
    </sheetView>
  </sheetViews>
  <sheetFormatPr baseColWidth="10" defaultRowHeight="15" x14ac:dyDescent="0.25"/>
  <cols>
    <col min="1" max="1" width="4.42578125" style="21" customWidth="1"/>
    <col min="2" max="2" width="15.140625" style="21" customWidth="1"/>
    <col min="3" max="3" width="12.28515625" style="21" customWidth="1"/>
    <col min="4" max="4" width="11.5703125" style="21" bestFit="1" customWidth="1"/>
    <col min="5" max="5" width="12.85546875" style="21" bestFit="1" customWidth="1"/>
    <col min="6" max="6" width="11.5703125" style="21" bestFit="1" customWidth="1"/>
    <col min="7" max="7" width="19.85546875" style="21" customWidth="1"/>
    <col min="8" max="8" width="14.5703125" style="21" customWidth="1"/>
    <col min="9" max="9" width="11.42578125" style="21"/>
    <col min="10" max="10" width="9.5703125" style="21" customWidth="1"/>
    <col min="11" max="11" width="13.85546875" style="21" customWidth="1"/>
    <col min="12" max="12" width="14.28515625" style="21" bestFit="1" customWidth="1"/>
    <col min="13" max="18" width="9.5703125" style="21" customWidth="1"/>
    <col min="19" max="19" width="14.28515625" style="21" customWidth="1"/>
    <col min="20" max="20" width="12.85546875" style="21" customWidth="1"/>
    <col min="21" max="16384" width="11.42578125" style="21"/>
  </cols>
  <sheetData>
    <row r="1" spans="1:25" x14ac:dyDescent="0.25">
      <c r="A1" s="21">
        <v>1</v>
      </c>
      <c r="B1" s="21">
        <v>2</v>
      </c>
      <c r="C1" s="21">
        <v>3</v>
      </c>
      <c r="D1" s="21">
        <v>4</v>
      </c>
      <c r="E1" s="21">
        <v>5</v>
      </c>
      <c r="F1" s="21">
        <v>6</v>
      </c>
      <c r="G1" s="21">
        <v>7</v>
      </c>
      <c r="H1" s="21">
        <v>8</v>
      </c>
      <c r="I1" s="21">
        <v>9</v>
      </c>
      <c r="J1" s="21">
        <v>10</v>
      </c>
      <c r="K1" s="21">
        <v>11</v>
      </c>
      <c r="L1" s="21">
        <v>12</v>
      </c>
      <c r="M1" s="21">
        <v>13</v>
      </c>
      <c r="N1" s="21">
        <v>14</v>
      </c>
      <c r="O1" s="21">
        <v>15</v>
      </c>
      <c r="P1" s="21">
        <v>16</v>
      </c>
      <c r="Q1" s="21">
        <v>17</v>
      </c>
      <c r="R1" s="21">
        <v>18</v>
      </c>
      <c r="S1" s="21">
        <v>19</v>
      </c>
      <c r="T1" s="21">
        <v>20</v>
      </c>
      <c r="U1" s="21">
        <v>21</v>
      </c>
      <c r="V1" s="21">
        <v>22</v>
      </c>
      <c r="W1" s="21">
        <v>23</v>
      </c>
      <c r="X1" s="21">
        <v>24</v>
      </c>
      <c r="Y1" s="21">
        <v>25</v>
      </c>
    </row>
    <row r="6" spans="1:25" x14ac:dyDescent="0.25">
      <c r="C6" s="6" t="s">
        <v>23</v>
      </c>
      <c r="D6" s="6" t="s">
        <v>24</v>
      </c>
      <c r="E6" s="6" t="s">
        <v>24</v>
      </c>
      <c r="F6" s="6" t="s">
        <v>24</v>
      </c>
      <c r="G6" s="6" t="s">
        <v>4</v>
      </c>
    </row>
    <row r="7" spans="1:25" x14ac:dyDescent="0.25">
      <c r="C7" s="7" t="s">
        <v>64</v>
      </c>
      <c r="D7" s="7" t="s">
        <v>0</v>
      </c>
      <c r="E7" s="7" t="s">
        <v>1</v>
      </c>
      <c r="F7" s="7" t="s">
        <v>65</v>
      </c>
      <c r="G7" s="8" t="s">
        <v>22</v>
      </c>
    </row>
    <row r="8" spans="1:25" x14ac:dyDescent="0.25">
      <c r="C8" t="s">
        <v>5</v>
      </c>
      <c r="D8" s="5">
        <v>499396</v>
      </c>
      <c r="E8" s="5">
        <v>4338750</v>
      </c>
      <c r="F8" s="5">
        <v>655</v>
      </c>
      <c r="G8" s="5">
        <v>1555099.9925000002</v>
      </c>
    </row>
    <row r="10" spans="1:25" x14ac:dyDescent="0.25">
      <c r="H10" s="33"/>
    </row>
    <row r="11" spans="1:25" x14ac:dyDescent="0.25">
      <c r="B11" s="10" t="s">
        <v>23</v>
      </c>
      <c r="C11" s="11" t="s">
        <v>23</v>
      </c>
      <c r="D11" s="11" t="s">
        <v>24</v>
      </c>
      <c r="E11" s="11" t="s">
        <v>24</v>
      </c>
      <c r="F11" s="11" t="s">
        <v>24</v>
      </c>
      <c r="G11" s="11" t="s">
        <v>4</v>
      </c>
      <c r="H11" s="11" t="s">
        <v>25</v>
      </c>
      <c r="I11" s="11" t="s">
        <v>24</v>
      </c>
      <c r="J11" s="53"/>
      <c r="K11" s="53"/>
      <c r="L11" s="53"/>
      <c r="M11" s="53"/>
      <c r="N11" s="53"/>
      <c r="O11" s="53"/>
      <c r="P11" s="53"/>
      <c r="Q11" s="53" t="s">
        <v>50</v>
      </c>
      <c r="R11" s="53" t="s">
        <v>60</v>
      </c>
      <c r="S11" s="56" t="s">
        <v>61</v>
      </c>
    </row>
    <row r="12" spans="1:25" x14ac:dyDescent="0.25">
      <c r="B12" s="8" t="s">
        <v>26</v>
      </c>
      <c r="C12" s="30" t="s">
        <v>20</v>
      </c>
      <c r="D12" s="30" t="s">
        <v>0</v>
      </c>
      <c r="E12" s="30" t="s">
        <v>1</v>
      </c>
      <c r="F12" s="30" t="s">
        <v>65</v>
      </c>
      <c r="G12" s="30" t="s">
        <v>2</v>
      </c>
      <c r="H12" s="30" t="s">
        <v>21</v>
      </c>
      <c r="I12" s="12" t="s">
        <v>66</v>
      </c>
      <c r="J12" s="13" t="s">
        <v>27</v>
      </c>
      <c r="K12" s="13" t="s">
        <v>28</v>
      </c>
      <c r="L12" s="14" t="s">
        <v>19</v>
      </c>
      <c r="M12" s="14" t="s">
        <v>56</v>
      </c>
      <c r="N12" s="14" t="s">
        <v>57</v>
      </c>
      <c r="O12" s="14" t="s">
        <v>58</v>
      </c>
      <c r="P12" s="14" t="s">
        <v>59</v>
      </c>
      <c r="Q12" s="15" t="s">
        <v>18</v>
      </c>
      <c r="R12" s="14" t="s">
        <v>3</v>
      </c>
      <c r="S12" s="14" t="s">
        <v>29</v>
      </c>
    </row>
    <row r="13" spans="1:25" x14ac:dyDescent="0.25">
      <c r="B13" s="4">
        <v>116</v>
      </c>
      <c r="C13" s="4">
        <v>4928</v>
      </c>
      <c r="D13" s="9">
        <v>498844</v>
      </c>
      <c r="E13" s="9">
        <v>4338140</v>
      </c>
      <c r="F13" s="9">
        <v>660</v>
      </c>
      <c r="G13" s="9">
        <f>Tabla9[[#This Row],[Areaha]]*Tabla9[[#This Row],[Unit Water Demand]]</f>
        <v>271469.99</v>
      </c>
      <c r="H13" s="29">
        <f>Tabla9[[#This Row],[Areaha]]*Tabla9[[#This Row],[UnitBenefit]]</f>
        <v>247431.42600000001</v>
      </c>
      <c r="I13" s="9">
        <f>SQRT((Tabla9[[#This Row],[X]]-$D$8)^2+(Tabla9[[#This Row],[Y]]-$E$8)^2)</f>
        <v>822.68098312772486</v>
      </c>
      <c r="J13" s="53"/>
      <c r="K13" s="54">
        <f>SUM($G$13:G13)</f>
        <v>271469.99</v>
      </c>
      <c r="L13" s="53" t="s">
        <v>5</v>
      </c>
      <c r="M13" s="53"/>
      <c r="N13" s="53"/>
      <c r="O13" s="53"/>
      <c r="P13" s="53"/>
      <c r="Q13" s="55">
        <v>207.22900000000001</v>
      </c>
      <c r="R13" s="53">
        <v>1310</v>
      </c>
      <c r="S13" s="53">
        <v>1194</v>
      </c>
    </row>
    <row r="14" spans="1:25" x14ac:dyDescent="0.25">
      <c r="B14" s="4">
        <v>102</v>
      </c>
      <c r="C14" s="4">
        <v>4906</v>
      </c>
      <c r="D14" s="9">
        <v>499607</v>
      </c>
      <c r="E14" s="9">
        <v>4339600</v>
      </c>
      <c r="F14" s="9">
        <v>656</v>
      </c>
      <c r="G14" s="9">
        <f>Tabla9[[#This Row],[Areaha]]*Tabla9[[#This Row],[Unit Water Demand]]</f>
        <v>94090.095000000001</v>
      </c>
      <c r="H14" s="29">
        <f>Tabla9[[#This Row],[Areaha]]*Tabla9[[#This Row],[UnitBenefit]]</f>
        <v>85758.452999999994</v>
      </c>
      <c r="I14" s="9">
        <f>SQRT((Tabla9[[#This Row],[X]]-$D$8)^2+(Tabla9[[#This Row],[Y]]-$E$8)^2)</f>
        <v>875.79735098937124</v>
      </c>
      <c r="J14" s="53"/>
      <c r="K14" s="54">
        <f>SUM($G$13:G14)</f>
        <v>365560.08499999996</v>
      </c>
      <c r="L14" s="53" t="s">
        <v>5</v>
      </c>
      <c r="M14" s="53"/>
      <c r="N14" s="53"/>
      <c r="O14" s="53"/>
      <c r="P14" s="53"/>
      <c r="Q14" s="55">
        <v>71.8245</v>
      </c>
      <c r="R14" s="53">
        <v>1310</v>
      </c>
      <c r="S14" s="53">
        <v>1194</v>
      </c>
    </row>
    <row r="15" spans="1:25" x14ac:dyDescent="0.25">
      <c r="B15" s="4">
        <v>127</v>
      </c>
      <c r="C15" s="4">
        <v>4948</v>
      </c>
      <c r="D15" s="9">
        <v>499739</v>
      </c>
      <c r="E15" s="9">
        <v>4337940</v>
      </c>
      <c r="F15" s="9">
        <v>656</v>
      </c>
      <c r="G15" s="9">
        <f>Tabla9[[#This Row],[Areaha]]*Tabla9[[#This Row],[Unit Water Demand]]</f>
        <v>88405.873999999996</v>
      </c>
      <c r="H15" s="29">
        <f>Tabla9[[#This Row],[Areaha]]*Tabla9[[#This Row],[UnitBenefit]]</f>
        <v>80577.567599999995</v>
      </c>
      <c r="I15" s="9">
        <f>SQRT((Tabla9[[#This Row],[X]]-$D$8)^2+(Tabla9[[#This Row],[Y]]-$E$8)^2)</f>
        <v>879.6300358673526</v>
      </c>
      <c r="J15" s="53"/>
      <c r="K15" s="54">
        <f>SUM($G$13:G15)</f>
        <v>453965.95899999997</v>
      </c>
      <c r="L15" s="53" t="s">
        <v>5</v>
      </c>
      <c r="M15" s="53"/>
      <c r="N15" s="53"/>
      <c r="O15" s="53"/>
      <c r="P15" s="53"/>
      <c r="Q15" s="55">
        <v>67.485399999999998</v>
      </c>
      <c r="R15" s="53">
        <v>1310</v>
      </c>
      <c r="S15" s="53">
        <v>1194</v>
      </c>
    </row>
    <row r="16" spans="1:25" x14ac:dyDescent="0.25">
      <c r="B16" s="4">
        <v>142</v>
      </c>
      <c r="C16" s="4">
        <v>4977</v>
      </c>
      <c r="D16" s="9">
        <v>499270</v>
      </c>
      <c r="E16" s="9">
        <v>4337850</v>
      </c>
      <c r="F16" s="9">
        <v>658</v>
      </c>
      <c r="G16" s="9">
        <f>Tabla9[[#This Row],[Areaha]]*Tabla9[[#This Row],[Unit Water Demand]]</f>
        <v>46131.632399999995</v>
      </c>
      <c r="H16" s="29">
        <f>Tabla9[[#This Row],[Areaha]]*Tabla9[[#This Row],[UnitBenefit]]</f>
        <v>2957.8211999999999</v>
      </c>
      <c r="I16" s="9">
        <f>SQRT((Tabla9[[#This Row],[X]]-$D$8)^2+(Tabla9[[#This Row],[Y]]-$E$8)^2)</f>
        <v>908.77720041823227</v>
      </c>
      <c r="J16" s="53"/>
      <c r="K16" s="54">
        <f>SUM($G$13:G16)</f>
        <v>500097.59139999998</v>
      </c>
      <c r="L16" s="53" t="s">
        <v>5</v>
      </c>
      <c r="M16" s="53"/>
      <c r="N16" s="53"/>
      <c r="O16" s="53"/>
      <c r="P16" s="53"/>
      <c r="Q16" s="55">
        <v>12.972899999999999</v>
      </c>
      <c r="R16" s="53">
        <v>3556</v>
      </c>
      <c r="S16" s="53">
        <v>228</v>
      </c>
    </row>
    <row r="17" spans="2:19" x14ac:dyDescent="0.25">
      <c r="B17" s="4">
        <v>135</v>
      </c>
      <c r="C17" s="4">
        <v>4967</v>
      </c>
      <c r="D17" s="9">
        <v>500325</v>
      </c>
      <c r="E17" s="9">
        <v>4338280</v>
      </c>
      <c r="F17" s="9">
        <v>657</v>
      </c>
      <c r="G17" s="9">
        <f>Tabla9[[#This Row],[Areaha]]*Tabla9[[#This Row],[Unit Water Demand]]</f>
        <v>8940.4225000000006</v>
      </c>
      <c r="H17" s="29">
        <f>Tabla9[[#This Row],[Areaha]]*Tabla9[[#This Row],[UnitBenefit]]</f>
        <v>8148.7514999999994</v>
      </c>
      <c r="I17" s="9">
        <f>SQRT((Tabla9[[#This Row],[X]]-$D$8)^2+(Tabla9[[#This Row],[Y]]-$E$8)^2)</f>
        <v>1041.1248724336576</v>
      </c>
      <c r="J17" s="53"/>
      <c r="K17" s="54">
        <f>SUM($G$13:G17)</f>
        <v>509038.01389999996</v>
      </c>
      <c r="L17" s="53" t="s">
        <v>5</v>
      </c>
      <c r="M17" s="53"/>
      <c r="N17" s="53"/>
      <c r="O17" s="53"/>
      <c r="P17" s="53"/>
      <c r="Q17" s="55">
        <v>6.8247499999999999</v>
      </c>
      <c r="R17" s="53">
        <v>1310</v>
      </c>
      <c r="S17" s="53">
        <v>1194</v>
      </c>
    </row>
    <row r="18" spans="2:19" x14ac:dyDescent="0.25">
      <c r="B18" s="4">
        <v>140</v>
      </c>
      <c r="C18" s="4">
        <v>4975</v>
      </c>
      <c r="D18" s="9">
        <v>498948</v>
      </c>
      <c r="E18" s="9">
        <v>4337790</v>
      </c>
      <c r="F18" s="9">
        <v>658</v>
      </c>
      <c r="G18" s="9">
        <f>Tabla9[[#This Row],[Areaha]]*Tabla9[[#This Row],[Unit Water Demand]]</f>
        <v>43098.008799999996</v>
      </c>
      <c r="H18" s="29">
        <f>Tabla9[[#This Row],[Areaha]]*Tabla9[[#This Row],[UnitBenefit]]</f>
        <v>2763.3143999999998</v>
      </c>
      <c r="I18" s="9">
        <f>SQRT((Tabla9[[#This Row],[X]]-$D$8)^2+(Tabla9[[#This Row],[Y]]-$E$8)^2)</f>
        <v>1059.3885028637983</v>
      </c>
      <c r="J18" s="53"/>
      <c r="K18" s="54">
        <f>SUM($G$13:G18)</f>
        <v>552136.02269999997</v>
      </c>
      <c r="L18" s="53" t="s">
        <v>5</v>
      </c>
      <c r="M18" s="53"/>
      <c r="N18" s="53"/>
      <c r="O18" s="53"/>
      <c r="P18" s="53"/>
      <c r="Q18" s="55">
        <v>12.1198</v>
      </c>
      <c r="R18" s="53">
        <v>3556</v>
      </c>
      <c r="S18" s="53">
        <v>228</v>
      </c>
    </row>
    <row r="19" spans="2:19" x14ac:dyDescent="0.25">
      <c r="B19" s="4">
        <v>132</v>
      </c>
      <c r="C19" s="4">
        <v>4956</v>
      </c>
      <c r="D19" s="9">
        <v>498563</v>
      </c>
      <c r="E19" s="9">
        <v>4338070</v>
      </c>
      <c r="F19" s="9">
        <v>657</v>
      </c>
      <c r="G19" s="9">
        <f>Tabla9[[#This Row],[Areaha]]*Tabla9[[#This Row],[Unit Water Demand]]</f>
        <v>130879.29119999999</v>
      </c>
      <c r="H19" s="29">
        <f>Tabla9[[#This Row],[Areaha]]*Tabla9[[#This Row],[UnitBenefit]]</f>
        <v>8391.5856000000003</v>
      </c>
      <c r="I19" s="9">
        <f>SQRT((Tabla9[[#This Row],[X]]-$D$8)^2+(Tabla9[[#This Row],[Y]]-$E$8)^2)</f>
        <v>1075.308792859056</v>
      </c>
      <c r="J19" s="53"/>
      <c r="K19" s="54">
        <f>SUM($G$13:G19)</f>
        <v>683015.31389999995</v>
      </c>
      <c r="L19" s="53" t="s">
        <v>5</v>
      </c>
      <c r="M19" s="53"/>
      <c r="N19" s="53"/>
      <c r="O19" s="53"/>
      <c r="P19" s="53"/>
      <c r="Q19" s="55">
        <v>36.805199999999999</v>
      </c>
      <c r="R19" s="53">
        <v>3556</v>
      </c>
      <c r="S19" s="53">
        <v>228</v>
      </c>
    </row>
    <row r="20" spans="2:19" x14ac:dyDescent="0.25">
      <c r="B20" s="4">
        <v>107</v>
      </c>
      <c r="C20" s="4">
        <v>4913</v>
      </c>
      <c r="D20" s="9">
        <v>499063</v>
      </c>
      <c r="E20" s="9">
        <v>4339930</v>
      </c>
      <c r="F20" s="9">
        <v>654</v>
      </c>
      <c r="G20" s="9">
        <f>Tabla9[[#This Row],[Areaha]]*Tabla9[[#This Row],[Unit Water Demand]]</f>
        <v>2417.8669999999997</v>
      </c>
      <c r="H20" s="29">
        <f>Tabla9[[#This Row],[Areaha]]*Tabla9[[#This Row],[UnitBenefit]]</f>
        <v>2203.7657999999997</v>
      </c>
      <c r="I20" s="9">
        <f>SQRT((Tabla9[[#This Row],[X]]-$D$8)^2+(Tabla9[[#This Row],[Y]]-$E$8)^2)</f>
        <v>1226.0868647856889</v>
      </c>
      <c r="J20" s="53"/>
      <c r="K20" s="54">
        <f>SUM($G$13:G20)</f>
        <v>685433.18089999992</v>
      </c>
      <c r="L20" s="53" t="s">
        <v>5</v>
      </c>
      <c r="M20" s="53"/>
      <c r="N20" s="53"/>
      <c r="O20" s="53"/>
      <c r="P20" s="53"/>
      <c r="Q20" s="55">
        <v>1.8456999999999999</v>
      </c>
      <c r="R20" s="53">
        <v>1310</v>
      </c>
      <c r="S20" s="53">
        <v>1194</v>
      </c>
    </row>
    <row r="21" spans="2:19" x14ac:dyDescent="0.25">
      <c r="B21" s="4">
        <v>125</v>
      </c>
      <c r="C21" s="4">
        <v>4944</v>
      </c>
      <c r="D21" s="9">
        <v>498042</v>
      </c>
      <c r="E21" s="9">
        <v>4338800</v>
      </c>
      <c r="F21" s="9">
        <v>658</v>
      </c>
      <c r="G21" s="9">
        <f>Tabla9[[#This Row],[Areaha]]*Tabla9[[#This Row],[Unit Water Demand]]</f>
        <v>8589.8271999999997</v>
      </c>
      <c r="H21" s="29">
        <f>Tabla9[[#This Row],[Areaha]]*Tabla9[[#This Row],[UnitBenefit]]</f>
        <v>7829.2012800000002</v>
      </c>
      <c r="I21" s="9">
        <f>SQRT((Tabla9[[#This Row],[X]]-$D$8)^2+(Tabla9[[#This Row],[Y]]-$E$8)^2)</f>
        <v>1354.9228760339092</v>
      </c>
      <c r="J21" s="53"/>
      <c r="K21" s="54">
        <f>SUM($G$13:G21)</f>
        <v>694023.00809999998</v>
      </c>
      <c r="L21" s="53" t="s">
        <v>5</v>
      </c>
      <c r="M21" s="53"/>
      <c r="N21" s="53"/>
      <c r="O21" s="53"/>
      <c r="P21" s="53"/>
      <c r="Q21" s="55">
        <v>6.5571200000000003</v>
      </c>
      <c r="R21" s="53">
        <v>1310</v>
      </c>
      <c r="S21" s="53">
        <v>1194</v>
      </c>
    </row>
    <row r="22" spans="2:19" x14ac:dyDescent="0.25">
      <c r="B22" s="4">
        <v>155</v>
      </c>
      <c r="C22" s="4">
        <v>4999</v>
      </c>
      <c r="D22" s="9">
        <v>499525</v>
      </c>
      <c r="E22" s="9">
        <v>4337270</v>
      </c>
      <c r="F22" s="9">
        <v>658</v>
      </c>
      <c r="G22" s="9">
        <f>Tabla9[[#This Row],[Areaha]]*Tabla9[[#This Row],[Unit Water Demand]]</f>
        <v>4166.9789999999994</v>
      </c>
      <c r="H22" s="29">
        <f>Tabla9[[#This Row],[Areaha]]*Tabla9[[#This Row],[UnitBenefit]]</f>
        <v>3797.9946</v>
      </c>
      <c r="I22" s="9">
        <f>SQRT((Tabla9[[#This Row],[X]]-$D$8)^2+(Tabla9[[#This Row],[Y]]-$E$8)^2)</f>
        <v>1485.611321981628</v>
      </c>
      <c r="J22" s="53"/>
      <c r="K22" s="54">
        <f>SUM($G$13:G22)</f>
        <v>698189.98710000003</v>
      </c>
      <c r="L22" s="53" t="s">
        <v>5</v>
      </c>
      <c r="M22" s="53"/>
      <c r="N22" s="53"/>
      <c r="O22" s="53"/>
      <c r="P22" s="53"/>
      <c r="Q22" s="55">
        <v>3.1808999999999998</v>
      </c>
      <c r="R22" s="53">
        <v>1310</v>
      </c>
      <c r="S22" s="53">
        <v>1194</v>
      </c>
    </row>
    <row r="23" spans="2:19" x14ac:dyDescent="0.25">
      <c r="B23" s="4">
        <v>134</v>
      </c>
      <c r="C23" s="4">
        <v>4964</v>
      </c>
      <c r="D23" s="9">
        <v>500859</v>
      </c>
      <c r="E23" s="9">
        <v>4338360</v>
      </c>
      <c r="F23" s="9">
        <v>657</v>
      </c>
      <c r="G23" s="9">
        <f>Tabla9[[#This Row],[Areaha]]*Tabla9[[#This Row],[Unit Water Demand]]</f>
        <v>3568.9378000000002</v>
      </c>
      <c r="H23" s="29">
        <f>Tabla9[[#This Row],[Areaha]]*Tabla9[[#This Row],[UnitBenefit]]</f>
        <v>3252.9097200000001</v>
      </c>
      <c r="I23" s="9">
        <f>SQRT((Tabla9[[#This Row],[X]]-$D$8)^2+(Tabla9[[#This Row],[Y]]-$E$8)^2)</f>
        <v>1514.0901558361709</v>
      </c>
      <c r="J23" s="53"/>
      <c r="K23" s="54">
        <f>SUM($G$13:G23)</f>
        <v>701758.92489999998</v>
      </c>
      <c r="L23" s="53" t="s">
        <v>5</v>
      </c>
      <c r="M23" s="53"/>
      <c r="N23" s="53"/>
      <c r="O23" s="53"/>
      <c r="P23" s="53"/>
      <c r="Q23" s="55">
        <v>2.72438</v>
      </c>
      <c r="R23" s="53">
        <v>1310</v>
      </c>
      <c r="S23" s="53">
        <v>1194</v>
      </c>
    </row>
    <row r="24" spans="2:19" x14ac:dyDescent="0.25">
      <c r="B24" s="4">
        <v>160</v>
      </c>
      <c r="C24" s="4">
        <v>5004</v>
      </c>
      <c r="D24" s="9">
        <v>499670</v>
      </c>
      <c r="E24" s="9">
        <v>4337260</v>
      </c>
      <c r="F24" s="9">
        <v>658</v>
      </c>
      <c r="G24" s="9">
        <f>Tabla9[[#This Row],[Areaha]]*Tabla9[[#This Row],[Unit Water Demand]]</f>
        <v>3873.8902000000003</v>
      </c>
      <c r="H24" s="29">
        <f>Tabla9[[#This Row],[Areaha]]*Tabla9[[#This Row],[UnitBenefit]]</f>
        <v>1038.6736000000001</v>
      </c>
      <c r="I24" s="9">
        <f>SQRT((Tabla9[[#This Row],[X]]-$D$8)^2+(Tabla9[[#This Row],[Y]]-$E$8)^2)</f>
        <v>1514.9838282965268</v>
      </c>
      <c r="J24" s="53"/>
      <c r="K24" s="54">
        <f>SUM($G$13:G24)</f>
        <v>705632.81510000001</v>
      </c>
      <c r="L24" s="53" t="s">
        <v>5</v>
      </c>
      <c r="M24" s="53"/>
      <c r="N24" s="53"/>
      <c r="O24" s="53"/>
      <c r="P24" s="53"/>
      <c r="Q24" s="55">
        <v>1.5097</v>
      </c>
      <c r="R24" s="53">
        <v>2566</v>
      </c>
      <c r="S24" s="53">
        <v>688</v>
      </c>
    </row>
    <row r="25" spans="2:19" x14ac:dyDescent="0.25">
      <c r="B25" s="4">
        <v>151</v>
      </c>
      <c r="C25" s="4">
        <v>4990</v>
      </c>
      <c r="D25" s="9">
        <v>500246</v>
      </c>
      <c r="E25" s="9">
        <v>4337390</v>
      </c>
      <c r="F25" s="9">
        <v>658</v>
      </c>
      <c r="G25" s="9">
        <f>Tabla9[[#This Row],[Areaha]]*Tabla9[[#This Row],[Unit Water Demand]]</f>
        <v>32260.06</v>
      </c>
      <c r="H25" s="29">
        <f>Tabla9[[#This Row],[Areaha]]*Tabla9[[#This Row],[UnitBenefit]]</f>
        <v>29403.444000000003</v>
      </c>
      <c r="I25" s="9">
        <f>SQRT((Tabla9[[#This Row],[X]]-$D$8)^2+(Tabla9[[#This Row],[Y]]-$E$8)^2)</f>
        <v>1603.7767924496227</v>
      </c>
      <c r="J25" s="53"/>
      <c r="K25" s="54">
        <f>SUM($G$13:G25)</f>
        <v>737892.87510000006</v>
      </c>
      <c r="L25" s="53" t="s">
        <v>5</v>
      </c>
      <c r="M25" s="53"/>
      <c r="N25" s="53"/>
      <c r="O25" s="53"/>
      <c r="P25" s="53"/>
      <c r="Q25" s="55">
        <v>24.626000000000001</v>
      </c>
      <c r="R25" s="53">
        <v>1310</v>
      </c>
      <c r="S25" s="53">
        <v>1194</v>
      </c>
    </row>
    <row r="26" spans="2:19" x14ac:dyDescent="0.25">
      <c r="B26" s="4">
        <v>157</v>
      </c>
      <c r="C26" s="4">
        <v>5001</v>
      </c>
      <c r="D26" s="9">
        <v>499480</v>
      </c>
      <c r="E26" s="9">
        <v>4337140</v>
      </c>
      <c r="F26" s="9">
        <v>657</v>
      </c>
      <c r="G26" s="9">
        <f>Tabla9[[#This Row],[Areaha]]*Tabla9[[#This Row],[Unit Water Demand]]</f>
        <v>19350.75632</v>
      </c>
      <c r="H26" s="29">
        <f>Tabla9[[#This Row],[Areaha]]*Tabla9[[#This Row],[UnitBenefit]]</f>
        <v>1240.71216</v>
      </c>
      <c r="I26" s="9">
        <f>SQRT((Tabla9[[#This Row],[X]]-$D$8)^2+(Tabla9[[#This Row],[Y]]-$E$8)^2)</f>
        <v>1612.1898151272387</v>
      </c>
      <c r="J26" s="53"/>
      <c r="K26" s="54">
        <f>SUM($G$13:G26)</f>
        <v>757243.63142000011</v>
      </c>
      <c r="L26" s="53" t="s">
        <v>5</v>
      </c>
      <c r="M26" s="53"/>
      <c r="N26" s="53"/>
      <c r="O26" s="53"/>
      <c r="P26" s="53"/>
      <c r="Q26" s="55">
        <v>5.4417200000000001</v>
      </c>
      <c r="R26" s="53">
        <v>3556</v>
      </c>
      <c r="S26" s="53">
        <v>228</v>
      </c>
    </row>
    <row r="27" spans="2:19" x14ac:dyDescent="0.25">
      <c r="B27" s="4">
        <v>137</v>
      </c>
      <c r="C27" s="4">
        <v>4970</v>
      </c>
      <c r="D27" s="9">
        <v>500899</v>
      </c>
      <c r="E27" s="9">
        <v>4337980</v>
      </c>
      <c r="F27" s="9">
        <v>658</v>
      </c>
      <c r="G27" s="9">
        <f>Tabla9[[#This Row],[Areaha]]*Tabla9[[#This Row],[Unit Water Demand]]</f>
        <v>43061.140999999996</v>
      </c>
      <c r="H27" s="29">
        <f>Tabla9[[#This Row],[Areaha]]*Tabla9[[#This Row],[UnitBenefit]]</f>
        <v>39248.093399999998</v>
      </c>
      <c r="I27" s="9">
        <f>SQRT((Tabla9[[#This Row],[X]]-$D$8)^2+(Tabla9[[#This Row],[Y]]-$E$8)^2)</f>
        <v>1688.7596039697303</v>
      </c>
      <c r="J27" s="53"/>
      <c r="K27" s="54">
        <f>SUM($G$13:G27)</f>
        <v>800304.77242000005</v>
      </c>
      <c r="L27" s="53" t="s">
        <v>5</v>
      </c>
      <c r="M27" s="53"/>
      <c r="N27" s="53"/>
      <c r="O27" s="53"/>
      <c r="P27" s="53"/>
      <c r="Q27" s="55">
        <v>32.871099999999998</v>
      </c>
      <c r="R27" s="53">
        <v>1310</v>
      </c>
      <c r="S27" s="53">
        <v>1194</v>
      </c>
    </row>
    <row r="28" spans="2:19" x14ac:dyDescent="0.25">
      <c r="B28" s="4">
        <v>117</v>
      </c>
      <c r="C28" s="4">
        <v>4932</v>
      </c>
      <c r="D28" s="9">
        <v>497764</v>
      </c>
      <c r="E28" s="9">
        <v>4339190</v>
      </c>
      <c r="F28" s="9">
        <v>657</v>
      </c>
      <c r="G28" s="9">
        <f>Tabla9[[#This Row],[Areaha]]*Tabla9[[#This Row],[Unit Water Demand]]</f>
        <v>9020.1884000000009</v>
      </c>
      <c r="H28" s="29">
        <f>Tabla9[[#This Row],[Areaha]]*Tabla9[[#This Row],[UnitBenefit]]</f>
        <v>8221.4541600000011</v>
      </c>
      <c r="I28" s="9">
        <f>SQRT((Tabla9[[#This Row],[X]]-$D$8)^2+(Tabla9[[#This Row],[Y]]-$E$8)^2)</f>
        <v>1690.2733506743814</v>
      </c>
      <c r="J28" s="53"/>
      <c r="K28" s="54">
        <f>SUM($G$13:G28)</f>
        <v>809324.96082000004</v>
      </c>
      <c r="L28" s="53" t="s">
        <v>5</v>
      </c>
      <c r="M28" s="53"/>
      <c r="N28" s="53"/>
      <c r="O28" s="53"/>
      <c r="P28" s="53"/>
      <c r="Q28" s="55">
        <v>6.8856400000000004</v>
      </c>
      <c r="R28" s="53">
        <v>1310</v>
      </c>
      <c r="S28" s="53">
        <v>1194</v>
      </c>
    </row>
    <row r="29" spans="2:19" x14ac:dyDescent="0.25">
      <c r="B29" s="4">
        <v>108</v>
      </c>
      <c r="C29" s="4">
        <v>4915</v>
      </c>
      <c r="D29" s="9">
        <v>497512</v>
      </c>
      <c r="E29" s="9">
        <v>4339050</v>
      </c>
      <c r="F29" s="9">
        <v>656</v>
      </c>
      <c r="G29" s="9">
        <f>Tabla9[[#This Row],[Areaha]]*Tabla9[[#This Row],[Unit Water Demand]]</f>
        <v>620308.64</v>
      </c>
      <c r="H29" s="29">
        <f>Tabla9[[#This Row],[Areaha]]*Tabla9[[#This Row],[UnitBenefit]]</f>
        <v>39772.32</v>
      </c>
      <c r="I29" s="9">
        <f>SQRT((Tabla9[[#This Row],[X]]-$D$8)^2+(Tabla9[[#This Row],[Y]]-$E$8)^2)</f>
        <v>1907.7358307690297</v>
      </c>
      <c r="J29" s="53"/>
      <c r="K29" s="54">
        <f>SUM($G$13:G29)</f>
        <v>1429633.6008200001</v>
      </c>
      <c r="L29" s="53" t="s">
        <v>5</v>
      </c>
      <c r="M29" s="53"/>
      <c r="N29" s="53"/>
      <c r="O29" s="53"/>
      <c r="P29" s="53"/>
      <c r="Q29" s="55">
        <v>174.44</v>
      </c>
      <c r="R29" s="53">
        <v>3556</v>
      </c>
      <c r="S29" s="53">
        <v>228</v>
      </c>
    </row>
    <row r="30" spans="2:19" x14ac:dyDescent="0.25">
      <c r="B30" s="4">
        <v>156</v>
      </c>
      <c r="C30" s="4">
        <v>5000</v>
      </c>
      <c r="D30" s="9">
        <v>500674</v>
      </c>
      <c r="E30" s="9">
        <v>4337280</v>
      </c>
      <c r="F30" s="9">
        <v>657</v>
      </c>
      <c r="G30" s="9">
        <f>Tabla9[[#This Row],[Areaha]]*Tabla9[[#This Row],[Unit Water Demand]]</f>
        <v>4500.1774999999998</v>
      </c>
      <c r="H30" s="29">
        <f>Tabla9[[#This Row],[Areaha]]*Tabla9[[#This Row],[UnitBenefit]]</f>
        <v>4101.6885000000002</v>
      </c>
      <c r="I30" s="9">
        <f>SQRT((Tabla9[[#This Row],[X]]-$D$8)^2+(Tabla9[[#This Row],[Y]]-$E$8)^2)</f>
        <v>1947.8665252013548</v>
      </c>
      <c r="J30" s="53"/>
      <c r="K30" s="54">
        <f>SUM($G$13:G30)</f>
        <v>1434133.77832</v>
      </c>
      <c r="L30" s="53" t="s">
        <v>5</v>
      </c>
      <c r="M30" s="53"/>
      <c r="N30" s="53"/>
      <c r="O30" s="53"/>
      <c r="P30" s="53"/>
      <c r="Q30" s="55">
        <v>3.4352499999999999</v>
      </c>
      <c r="R30" s="53">
        <v>1310</v>
      </c>
      <c r="S30" s="53">
        <v>1194</v>
      </c>
    </row>
    <row r="31" spans="2:19" x14ac:dyDescent="0.25">
      <c r="B31" s="4">
        <v>165</v>
      </c>
      <c r="C31" s="4">
        <v>5010</v>
      </c>
      <c r="D31" s="9">
        <v>500285</v>
      </c>
      <c r="E31" s="9">
        <v>4336930</v>
      </c>
      <c r="F31" s="9">
        <v>658</v>
      </c>
      <c r="G31" s="9">
        <f>Tabla9[[#This Row],[Areaha]]*Tabla9[[#This Row],[Unit Water Demand]]</f>
        <v>6395.0138999999999</v>
      </c>
      <c r="H31" s="29">
        <f>Tabla9[[#This Row],[Areaha]]*Tabla9[[#This Row],[UnitBenefit]]</f>
        <v>5828.7378600000002</v>
      </c>
      <c r="I31" s="9">
        <f>SQRT((Tabla9[[#This Row],[X]]-$D$8)^2+(Tabla9[[#This Row],[Y]]-$E$8)^2)</f>
        <v>2025.5174647482061</v>
      </c>
      <c r="J31" s="53"/>
      <c r="K31" s="54">
        <f>SUM($G$13:G31)</f>
        <v>1440528.7922199999</v>
      </c>
      <c r="L31" s="53" t="s">
        <v>5</v>
      </c>
      <c r="M31" s="53"/>
      <c r="N31" s="53"/>
      <c r="O31" s="53"/>
      <c r="P31" s="53"/>
      <c r="Q31" s="55">
        <v>4.8816899999999999</v>
      </c>
      <c r="R31" s="53">
        <v>1310</v>
      </c>
      <c r="S31" s="53">
        <v>1194</v>
      </c>
    </row>
    <row r="32" spans="2:19" x14ac:dyDescent="0.25">
      <c r="B32" s="4">
        <v>139</v>
      </c>
      <c r="C32" s="4">
        <v>4972</v>
      </c>
      <c r="D32" s="9">
        <v>501359</v>
      </c>
      <c r="E32" s="9">
        <v>4338150</v>
      </c>
      <c r="F32" s="9">
        <v>658</v>
      </c>
      <c r="G32" s="9">
        <f>Tabla9[[#This Row],[Areaha]]*Tabla9[[#This Row],[Unit Water Demand]]</f>
        <v>3648.2452000000003</v>
      </c>
      <c r="H32" s="29">
        <f>Tabla9[[#This Row],[Areaha]]*Tabla9[[#This Row],[UnitBenefit]]</f>
        <v>3325.1944800000001</v>
      </c>
      <c r="I32" s="9">
        <f>SQRT((Tabla9[[#This Row],[X]]-$D$8)^2+(Tabla9[[#This Row],[Y]]-$E$8)^2)</f>
        <v>2052.6492637564752</v>
      </c>
      <c r="J32" s="53"/>
      <c r="K32" s="54">
        <f>SUM($G$13:G32)</f>
        <v>1444177.0374199999</v>
      </c>
      <c r="L32" s="53" t="s">
        <v>5</v>
      </c>
      <c r="M32" s="53"/>
      <c r="N32" s="53"/>
      <c r="O32" s="53"/>
      <c r="P32" s="53"/>
      <c r="Q32" s="55">
        <v>2.7849200000000001</v>
      </c>
      <c r="R32" s="53">
        <v>1310</v>
      </c>
      <c r="S32" s="53">
        <v>1194</v>
      </c>
    </row>
    <row r="33" spans="2:19" x14ac:dyDescent="0.25">
      <c r="B33" s="4">
        <v>94</v>
      </c>
      <c r="C33" s="4">
        <v>4893</v>
      </c>
      <c r="D33" s="9">
        <v>499101</v>
      </c>
      <c r="E33" s="9">
        <v>4340840</v>
      </c>
      <c r="F33" s="9">
        <v>659</v>
      </c>
      <c r="G33" s="9">
        <f>Tabla9[[#This Row],[Areaha]]*Tabla9[[#This Row],[Unit Water Demand]]</f>
        <v>10524.775799999999</v>
      </c>
      <c r="H33" s="29">
        <f>Tabla9[[#This Row],[Areaha]]*Tabla9[[#This Row],[UnitBenefit]]</f>
        <v>9592.8109199999999</v>
      </c>
      <c r="I33" s="9">
        <f>SQRT((Tabla9[[#This Row],[X]]-$D$8)^2+(Tabla9[[#This Row],[Y]]-$E$8)^2)</f>
        <v>2110.7167029234406</v>
      </c>
      <c r="J33" s="53"/>
      <c r="K33" s="54">
        <f>SUM($G$13:G33)</f>
        <v>1454701.8132199999</v>
      </c>
      <c r="L33" s="53" t="s">
        <v>5</v>
      </c>
      <c r="M33" s="53"/>
      <c r="N33" s="53"/>
      <c r="O33" s="53"/>
      <c r="P33" s="53"/>
      <c r="Q33" s="55">
        <v>8.0341799999999992</v>
      </c>
      <c r="R33" s="53">
        <v>1310</v>
      </c>
      <c r="S33" s="53">
        <v>1194</v>
      </c>
    </row>
    <row r="34" spans="2:19" x14ac:dyDescent="0.25">
      <c r="B34" s="4">
        <v>171</v>
      </c>
      <c r="C34" s="4">
        <v>5018</v>
      </c>
      <c r="D34" s="9">
        <v>499981</v>
      </c>
      <c r="E34" s="9">
        <v>4336710</v>
      </c>
      <c r="F34" s="9">
        <v>659</v>
      </c>
      <c r="G34" s="9">
        <f>Tabla9[[#This Row],[Areaha]]*Tabla9[[#This Row],[Unit Water Demand]]</f>
        <v>4735.3487000000005</v>
      </c>
      <c r="H34" s="29">
        <f>Tabla9[[#This Row],[Areaha]]*Tabla9[[#This Row],[UnitBenefit]]</f>
        <v>4316.0353800000003</v>
      </c>
      <c r="I34" s="9">
        <f>SQRT((Tabla9[[#This Row],[X]]-$D$8)^2+(Tabla9[[#This Row],[Y]]-$E$8)^2)</f>
        <v>2122.2217132052911</v>
      </c>
      <c r="J34" s="53"/>
      <c r="K34" s="54">
        <f>SUM($G$13:G34)</f>
        <v>1459437.1619199999</v>
      </c>
      <c r="L34" s="53" t="s">
        <v>5</v>
      </c>
      <c r="M34" s="53"/>
      <c r="N34" s="53"/>
      <c r="O34" s="53"/>
      <c r="P34" s="53"/>
      <c r="Q34" s="55">
        <v>3.61477</v>
      </c>
      <c r="R34" s="53">
        <v>1310</v>
      </c>
      <c r="S34" s="53">
        <v>1194</v>
      </c>
    </row>
    <row r="35" spans="2:19" x14ac:dyDescent="0.25">
      <c r="B35" s="4">
        <v>138</v>
      </c>
      <c r="C35" s="4">
        <v>4971</v>
      </c>
      <c r="D35" s="9">
        <v>497596</v>
      </c>
      <c r="E35" s="9">
        <v>4337520</v>
      </c>
      <c r="F35" s="9">
        <v>659</v>
      </c>
      <c r="G35" s="9">
        <f>Tabla9[[#This Row],[Areaha]]*Tabla9[[#This Row],[Unit Water Demand]]</f>
        <v>91139.451000000001</v>
      </c>
      <c r="H35" s="29">
        <f>Tabla9[[#This Row],[Areaha]]*Tabla9[[#This Row],[UnitBenefit]]</f>
        <v>83069.087400000004</v>
      </c>
      <c r="I35" s="9">
        <f>SQRT((Tabla9[[#This Row],[X]]-$D$8)^2+(Tabla9[[#This Row],[Y]]-$E$8)^2)</f>
        <v>2180.1146758828995</v>
      </c>
      <c r="J35" s="53"/>
      <c r="K35" s="54">
        <f>SUM($G$13:G35)</f>
        <v>1550576.6129199998</v>
      </c>
      <c r="L35" s="53" t="s">
        <v>5</v>
      </c>
      <c r="M35" s="53"/>
      <c r="N35" s="53"/>
      <c r="O35" s="53"/>
      <c r="P35" s="53"/>
      <c r="Q35" s="55">
        <v>69.572100000000006</v>
      </c>
      <c r="R35" s="53">
        <v>1310</v>
      </c>
      <c r="S35" s="53">
        <v>1194</v>
      </c>
    </row>
    <row r="36" spans="2:19" x14ac:dyDescent="0.25">
      <c r="B36" s="4"/>
      <c r="C36" s="4"/>
      <c r="D36" s="9"/>
      <c r="E36" s="9"/>
      <c r="F36" s="9"/>
      <c r="G36" s="9"/>
      <c r="H36" s="29"/>
      <c r="I36" s="9"/>
      <c r="J36" s="53"/>
      <c r="K36" s="54"/>
      <c r="L36" s="53"/>
      <c r="M36" s="53"/>
      <c r="N36" s="53"/>
      <c r="O36" s="53"/>
      <c r="P36" s="53"/>
      <c r="Q36" s="55"/>
      <c r="R36" s="53"/>
      <c r="S36" s="53"/>
    </row>
    <row r="37" spans="2:19" x14ac:dyDescent="0.25">
      <c r="B37" s="4"/>
      <c r="C37" s="4"/>
      <c r="D37" s="9"/>
      <c r="E37" s="9"/>
      <c r="F37" s="9"/>
      <c r="G37" s="9"/>
      <c r="H37" s="29"/>
      <c r="I37" s="9"/>
      <c r="J37" s="53"/>
      <c r="K37" s="54"/>
      <c r="L37" s="53"/>
      <c r="M37" s="53"/>
      <c r="N37" s="53"/>
      <c r="O37" s="53"/>
      <c r="P37" s="53"/>
      <c r="Q37" s="55"/>
      <c r="R37" s="53"/>
      <c r="S37" s="53"/>
    </row>
    <row r="38" spans="2:19" x14ac:dyDescent="0.25">
      <c r="B38" s="4"/>
      <c r="C38" s="4"/>
      <c r="D38" s="9"/>
      <c r="E38" s="9"/>
      <c r="F38" s="9"/>
      <c r="G38" s="9"/>
      <c r="H38" s="29"/>
      <c r="I38" s="9"/>
      <c r="J38" s="53"/>
      <c r="K38" s="54"/>
      <c r="L38" s="53"/>
      <c r="M38" s="53"/>
      <c r="N38" s="53"/>
      <c r="O38" s="53"/>
      <c r="P38" s="53"/>
      <c r="Q38" s="55"/>
      <c r="R38" s="53"/>
      <c r="S38" s="53"/>
    </row>
    <row r="39" spans="2:19" x14ac:dyDescent="0.25">
      <c r="B39" s="4"/>
      <c r="C39" s="4"/>
      <c r="D39" s="9"/>
      <c r="E39" s="9"/>
      <c r="F39" s="9"/>
      <c r="G39" s="9"/>
      <c r="H39" s="29"/>
      <c r="I39" s="9"/>
      <c r="J39" s="53"/>
      <c r="K39" s="54"/>
      <c r="L39" s="53"/>
      <c r="M39" s="53"/>
      <c r="N39" s="53"/>
      <c r="O39" s="53"/>
      <c r="P39" s="53"/>
      <c r="Q39" s="55"/>
      <c r="R39" s="53"/>
      <c r="S39" s="53"/>
    </row>
    <row r="40" spans="2:19" x14ac:dyDescent="0.25">
      <c r="B40" s="4"/>
      <c r="C40" s="4"/>
      <c r="D40" s="9"/>
      <c r="E40" s="9"/>
      <c r="F40" s="9"/>
      <c r="G40" s="9"/>
      <c r="H40" s="29"/>
      <c r="I40" s="9"/>
      <c r="J40" s="53"/>
      <c r="K40" s="54"/>
      <c r="L40" s="53"/>
      <c r="M40" s="53"/>
      <c r="N40" s="53"/>
      <c r="O40" s="53"/>
      <c r="P40" s="53"/>
      <c r="Q40" s="55"/>
      <c r="R40" s="53"/>
      <c r="S40" s="53"/>
    </row>
    <row r="41" spans="2:19" x14ac:dyDescent="0.25">
      <c r="B41" s="4"/>
      <c r="C41" s="4"/>
      <c r="D41" s="9"/>
      <c r="E41" s="9"/>
      <c r="F41" s="9"/>
      <c r="G41" s="9"/>
      <c r="H41" s="29"/>
      <c r="I41" s="9"/>
      <c r="J41" s="53"/>
      <c r="K41" s="54"/>
      <c r="L41" s="53"/>
      <c r="M41" s="53"/>
      <c r="N41" s="53"/>
      <c r="O41" s="53"/>
      <c r="P41" s="53"/>
      <c r="Q41" s="55"/>
      <c r="R41" s="53"/>
      <c r="S41" s="53"/>
    </row>
    <row r="42" spans="2:19" x14ac:dyDescent="0.25">
      <c r="B42" s="4"/>
      <c r="C42" s="4"/>
      <c r="D42" s="9"/>
      <c r="E42" s="9"/>
      <c r="F42" s="9"/>
      <c r="G42" s="9"/>
      <c r="H42" s="29"/>
      <c r="I42" s="9"/>
      <c r="J42" s="53"/>
      <c r="K42" s="54"/>
      <c r="L42" s="53"/>
      <c r="M42" s="53"/>
      <c r="N42" s="53"/>
      <c r="O42" s="53"/>
      <c r="P42" s="53"/>
      <c r="Q42" s="55"/>
      <c r="R42" s="53"/>
      <c r="S42" s="53"/>
    </row>
    <row r="43" spans="2:19" x14ac:dyDescent="0.25">
      <c r="B43" s="4"/>
      <c r="C43" s="4"/>
      <c r="D43" s="9"/>
      <c r="E43" s="9"/>
      <c r="F43" s="9"/>
      <c r="G43" s="9"/>
      <c r="H43" s="29"/>
      <c r="I43" s="9"/>
      <c r="J43" s="53"/>
      <c r="K43" s="54"/>
      <c r="L43" s="53"/>
      <c r="M43" s="53"/>
      <c r="N43" s="53"/>
      <c r="O43" s="53"/>
      <c r="P43" s="53"/>
      <c r="Q43" s="55"/>
      <c r="R43" s="53"/>
      <c r="S43" s="53"/>
    </row>
    <row r="44" spans="2:19" x14ac:dyDescent="0.25">
      <c r="B44" s="4"/>
      <c r="C44" s="4"/>
      <c r="D44" s="9"/>
      <c r="E44" s="9"/>
      <c r="F44" s="9"/>
      <c r="G44" s="9"/>
      <c r="H44" s="29"/>
      <c r="I44" s="9"/>
      <c r="J44" s="53"/>
      <c r="K44" s="54"/>
      <c r="L44" s="53"/>
      <c r="M44" s="53"/>
      <c r="N44" s="53"/>
      <c r="O44" s="53"/>
      <c r="P44" s="53"/>
      <c r="Q44" s="55"/>
      <c r="R44" s="53"/>
      <c r="S44" s="53"/>
    </row>
    <row r="45" spans="2:19" x14ac:dyDescent="0.25">
      <c r="B45" s="4"/>
      <c r="C45" s="4"/>
      <c r="D45" s="9"/>
      <c r="E45" s="9"/>
      <c r="F45" s="9"/>
      <c r="G45" s="9"/>
      <c r="H45" s="29"/>
      <c r="I45" s="9"/>
      <c r="J45" s="53"/>
      <c r="K45" s="54"/>
      <c r="L45" s="53"/>
      <c r="M45" s="53"/>
      <c r="N45" s="53"/>
      <c r="O45" s="53"/>
      <c r="P45" s="53"/>
      <c r="Q45" s="55"/>
      <c r="R45" s="53"/>
      <c r="S45" s="53"/>
    </row>
    <row r="46" spans="2:19" x14ac:dyDescent="0.25">
      <c r="B46" s="4"/>
      <c r="C46" s="4"/>
      <c r="D46" s="9"/>
      <c r="E46" s="9"/>
      <c r="F46" s="9"/>
      <c r="G46" s="9"/>
      <c r="H46" s="29"/>
      <c r="I46" s="9"/>
      <c r="J46" s="53"/>
      <c r="K46" s="54"/>
      <c r="L46" s="53"/>
      <c r="M46" s="53"/>
      <c r="N46" s="53"/>
      <c r="O46" s="53"/>
      <c r="P46" s="53"/>
      <c r="Q46" s="55"/>
      <c r="R46" s="53"/>
      <c r="S46" s="53"/>
    </row>
    <row r="47" spans="2:19" x14ac:dyDescent="0.25">
      <c r="B47" s="4"/>
      <c r="C47" s="4"/>
      <c r="D47" s="9"/>
      <c r="E47" s="9"/>
      <c r="F47" s="9"/>
      <c r="G47" s="9"/>
      <c r="H47" s="29"/>
      <c r="I47" s="9"/>
      <c r="J47" s="53"/>
      <c r="K47" s="54"/>
      <c r="L47" s="53"/>
      <c r="M47" s="53"/>
      <c r="N47" s="53"/>
      <c r="O47" s="53"/>
      <c r="P47" s="53"/>
      <c r="Q47" s="55"/>
      <c r="R47" s="53"/>
      <c r="S47" s="53"/>
    </row>
    <row r="48" spans="2:19" x14ac:dyDescent="0.25">
      <c r="B48" s="4"/>
      <c r="C48" s="4"/>
      <c r="D48" s="9"/>
      <c r="E48" s="9"/>
      <c r="F48" s="9"/>
      <c r="G48" s="9"/>
      <c r="H48" s="29"/>
      <c r="I48" s="9"/>
      <c r="J48" s="53"/>
      <c r="K48" s="54"/>
      <c r="L48" s="53"/>
      <c r="M48" s="53"/>
      <c r="N48" s="53"/>
      <c r="O48" s="53"/>
      <c r="P48" s="53"/>
      <c r="Q48" s="55"/>
      <c r="R48" s="53"/>
      <c r="S48" s="53"/>
    </row>
    <row r="49" spans="2:19" x14ac:dyDescent="0.25">
      <c r="B49" s="4"/>
      <c r="C49" s="4"/>
      <c r="D49" s="9"/>
      <c r="E49" s="9"/>
      <c r="F49" s="9"/>
      <c r="G49" s="9"/>
      <c r="H49" s="29"/>
      <c r="I49" s="9"/>
      <c r="J49" s="53"/>
      <c r="K49" s="54"/>
      <c r="L49" s="53"/>
      <c r="M49" s="53"/>
      <c r="N49" s="53"/>
      <c r="O49" s="53"/>
      <c r="P49" s="53"/>
      <c r="Q49" s="55"/>
      <c r="R49" s="53"/>
      <c r="S49" s="53"/>
    </row>
    <row r="50" spans="2:19" x14ac:dyDescent="0.25">
      <c r="B50" s="4"/>
      <c r="C50" s="4"/>
      <c r="D50" s="9"/>
      <c r="E50" s="9"/>
      <c r="F50" s="9"/>
      <c r="G50" s="9"/>
      <c r="H50" s="29"/>
      <c r="I50" s="9"/>
      <c r="J50" s="53"/>
      <c r="K50" s="54"/>
      <c r="L50" s="53"/>
      <c r="M50" s="53"/>
      <c r="N50" s="53"/>
      <c r="O50" s="53"/>
      <c r="P50" s="53"/>
      <c r="Q50" s="55"/>
      <c r="R50" s="53"/>
      <c r="S50" s="53"/>
    </row>
    <row r="51" spans="2:19" x14ac:dyDescent="0.25">
      <c r="B51" s="4"/>
      <c r="C51" s="4"/>
      <c r="D51" s="9"/>
      <c r="E51" s="9"/>
      <c r="F51" s="9"/>
      <c r="G51" s="9"/>
      <c r="H51" s="29"/>
      <c r="I51" s="9"/>
      <c r="J51" s="53"/>
      <c r="K51" s="54"/>
      <c r="L51" s="53"/>
      <c r="M51" s="53"/>
      <c r="N51" s="53"/>
      <c r="O51" s="53"/>
      <c r="P51" s="53"/>
      <c r="Q51" s="55"/>
      <c r="R51" s="53"/>
      <c r="S51" s="53"/>
    </row>
    <row r="52" spans="2:19" x14ac:dyDescent="0.25">
      <c r="B52" s="4"/>
      <c r="C52" s="4"/>
      <c r="D52" s="9"/>
      <c r="E52" s="9"/>
      <c r="F52" s="9"/>
      <c r="G52" s="9"/>
      <c r="H52" s="29"/>
      <c r="I52" s="9"/>
      <c r="J52" s="53"/>
      <c r="K52" s="54"/>
      <c r="L52" s="53"/>
      <c r="M52" s="53"/>
      <c r="N52" s="53"/>
      <c r="O52" s="53"/>
      <c r="P52" s="53"/>
      <c r="Q52" s="55"/>
      <c r="R52" s="53"/>
      <c r="S52" s="53"/>
    </row>
    <row r="53" spans="2:19" x14ac:dyDescent="0.25">
      <c r="B53" s="4"/>
      <c r="C53" s="4"/>
      <c r="D53" s="9"/>
      <c r="E53" s="9"/>
      <c r="F53" s="9"/>
      <c r="G53" s="9"/>
      <c r="H53" s="29"/>
      <c r="I53" s="9"/>
      <c r="J53" s="53"/>
      <c r="K53" s="54"/>
      <c r="L53" s="53"/>
      <c r="M53" s="53"/>
      <c r="N53" s="53"/>
      <c r="O53" s="53"/>
      <c r="P53" s="53"/>
      <c r="Q53" s="55"/>
      <c r="R53" s="53"/>
      <c r="S53" s="53"/>
    </row>
    <row r="54" spans="2:19" x14ac:dyDescent="0.25">
      <c r="B54" s="4"/>
      <c r="C54" s="4"/>
      <c r="D54" s="9"/>
      <c r="E54" s="9"/>
      <c r="F54" s="9"/>
      <c r="G54" s="9"/>
      <c r="H54" s="29"/>
      <c r="I54" s="9"/>
      <c r="J54" s="53"/>
      <c r="K54" s="54"/>
      <c r="L54" s="53"/>
      <c r="M54" s="53"/>
      <c r="N54" s="53"/>
      <c r="O54" s="53"/>
      <c r="P54" s="53"/>
      <c r="Q54" s="55"/>
      <c r="R54" s="53"/>
      <c r="S54" s="53"/>
    </row>
    <row r="55" spans="2:19" x14ac:dyDescent="0.25">
      <c r="B55" s="4"/>
      <c r="C55" s="4"/>
      <c r="D55" s="9"/>
      <c r="E55" s="9"/>
      <c r="F55" s="9"/>
      <c r="G55" s="9"/>
      <c r="H55" s="29"/>
      <c r="I55" s="9"/>
      <c r="J55" s="53"/>
      <c r="K55" s="54"/>
      <c r="L55" s="53"/>
      <c r="M55" s="53"/>
      <c r="N55" s="53"/>
      <c r="O55" s="53"/>
      <c r="P55" s="53"/>
      <c r="Q55" s="55"/>
      <c r="R55" s="53"/>
      <c r="S55" s="53"/>
    </row>
    <row r="56" spans="2:19" x14ac:dyDescent="0.25">
      <c r="B56" s="4"/>
      <c r="C56" s="4"/>
      <c r="D56" s="9"/>
      <c r="E56" s="9"/>
      <c r="F56" s="9"/>
      <c r="G56" s="9"/>
      <c r="H56" s="29"/>
      <c r="I56" s="9"/>
      <c r="J56" s="53"/>
      <c r="K56" s="54"/>
      <c r="L56" s="53"/>
      <c r="M56" s="53"/>
      <c r="N56" s="53"/>
      <c r="O56" s="53"/>
      <c r="P56" s="53"/>
      <c r="Q56" s="55"/>
      <c r="R56" s="53"/>
      <c r="S56" s="53"/>
    </row>
    <row r="57" spans="2:19" x14ac:dyDescent="0.25">
      <c r="B57" s="4"/>
      <c r="C57" s="4"/>
      <c r="D57" s="9"/>
      <c r="E57" s="9"/>
      <c r="F57" s="9"/>
      <c r="G57" s="9"/>
      <c r="H57" s="29"/>
      <c r="I57" s="9"/>
      <c r="J57" s="53"/>
      <c r="K57" s="54"/>
      <c r="L57" s="53"/>
      <c r="M57" s="53"/>
      <c r="N57" s="53"/>
      <c r="O57" s="53"/>
      <c r="P57" s="53"/>
      <c r="Q57" s="55"/>
      <c r="R57" s="53"/>
      <c r="S57" s="53"/>
    </row>
    <row r="58" spans="2:19" x14ac:dyDescent="0.25">
      <c r="B58" s="4"/>
      <c r="C58" s="4"/>
      <c r="D58" s="9"/>
      <c r="E58" s="9"/>
      <c r="F58" s="9"/>
      <c r="G58" s="9"/>
      <c r="H58" s="29"/>
      <c r="I58" s="9"/>
      <c r="J58" s="53"/>
      <c r="K58" s="54"/>
      <c r="L58" s="53"/>
      <c r="M58" s="53"/>
      <c r="N58" s="53"/>
      <c r="O58" s="53"/>
      <c r="P58" s="53"/>
      <c r="Q58" s="55"/>
      <c r="R58" s="53"/>
      <c r="S58" s="53"/>
    </row>
    <row r="59" spans="2:19" x14ac:dyDescent="0.25">
      <c r="B59" s="4"/>
      <c r="C59" s="4"/>
      <c r="D59" s="9"/>
      <c r="E59" s="9"/>
      <c r="F59" s="9"/>
      <c r="G59" s="9"/>
      <c r="H59" s="29"/>
      <c r="I59" s="9"/>
      <c r="J59" s="53"/>
      <c r="K59" s="54"/>
      <c r="L59" s="53"/>
      <c r="M59" s="53"/>
      <c r="N59" s="53"/>
      <c r="O59" s="53"/>
      <c r="P59" s="53"/>
      <c r="Q59" s="55"/>
      <c r="R59" s="53"/>
      <c r="S59" s="53"/>
    </row>
    <row r="60" spans="2:19" x14ac:dyDescent="0.25">
      <c r="B60" s="4"/>
      <c r="C60" s="4"/>
      <c r="D60" s="9"/>
      <c r="E60" s="9"/>
      <c r="F60" s="9"/>
      <c r="G60" s="9"/>
      <c r="H60" s="29"/>
      <c r="I60" s="9"/>
      <c r="J60" s="53"/>
      <c r="K60" s="54"/>
      <c r="L60" s="53"/>
      <c r="M60" s="53"/>
      <c r="N60" s="53"/>
      <c r="O60" s="53"/>
      <c r="P60" s="53"/>
      <c r="Q60" s="55"/>
      <c r="R60" s="53"/>
      <c r="S60" s="53"/>
    </row>
    <row r="61" spans="2:19" x14ac:dyDescent="0.25">
      <c r="B61" s="4"/>
      <c r="C61" s="4"/>
      <c r="D61" s="9"/>
      <c r="E61" s="9"/>
      <c r="F61" s="9"/>
      <c r="G61" s="9"/>
      <c r="H61" s="29"/>
      <c r="I61" s="9"/>
      <c r="J61" s="53"/>
      <c r="K61" s="54"/>
      <c r="L61" s="53"/>
      <c r="M61" s="53"/>
      <c r="N61" s="53"/>
      <c r="O61" s="53"/>
      <c r="P61" s="53"/>
      <c r="Q61" s="55"/>
      <c r="R61" s="53"/>
      <c r="S61" s="53"/>
    </row>
    <row r="62" spans="2:19" x14ac:dyDescent="0.25">
      <c r="B62" s="4"/>
      <c r="C62" s="4"/>
      <c r="D62" s="9"/>
      <c r="E62" s="9"/>
      <c r="F62" s="9"/>
      <c r="G62" s="9"/>
      <c r="H62" s="29"/>
      <c r="I62" s="9"/>
      <c r="J62" s="53"/>
      <c r="K62" s="54"/>
      <c r="L62" s="53"/>
      <c r="M62" s="53"/>
      <c r="N62" s="53"/>
      <c r="O62" s="53"/>
      <c r="P62" s="53"/>
      <c r="Q62" s="55"/>
      <c r="R62" s="53"/>
      <c r="S62" s="53"/>
    </row>
    <row r="63" spans="2:19" x14ac:dyDescent="0.25">
      <c r="B63" s="4"/>
      <c r="C63" s="4"/>
      <c r="D63" s="9"/>
      <c r="E63" s="9"/>
      <c r="F63" s="9"/>
      <c r="G63" s="9"/>
      <c r="H63" s="29"/>
      <c r="I63" s="9"/>
      <c r="J63" s="53"/>
      <c r="K63" s="54"/>
      <c r="L63" s="53"/>
      <c r="M63" s="53"/>
      <c r="N63" s="53"/>
      <c r="O63" s="53"/>
      <c r="P63" s="53"/>
      <c r="Q63" s="55"/>
      <c r="R63" s="53"/>
      <c r="S63" s="53"/>
    </row>
    <row r="64" spans="2:19" x14ac:dyDescent="0.25">
      <c r="B64" s="4"/>
      <c r="C64" s="4"/>
      <c r="D64" s="9"/>
      <c r="E64" s="9"/>
      <c r="F64" s="9"/>
      <c r="G64" s="9"/>
      <c r="H64" s="29"/>
      <c r="I64" s="9"/>
      <c r="J64" s="53"/>
      <c r="K64" s="54"/>
      <c r="L64" s="53"/>
      <c r="M64" s="53"/>
      <c r="N64" s="53"/>
      <c r="O64" s="53"/>
      <c r="P64" s="53"/>
      <c r="Q64" s="55"/>
      <c r="R64" s="53"/>
      <c r="S64" s="53"/>
    </row>
    <row r="65" spans="2:19" x14ac:dyDescent="0.25">
      <c r="B65" s="4"/>
      <c r="C65" s="4"/>
      <c r="D65" s="9"/>
      <c r="E65" s="9"/>
      <c r="F65" s="9"/>
      <c r="G65" s="9"/>
      <c r="H65" s="29"/>
      <c r="I65" s="9"/>
      <c r="J65" s="53"/>
      <c r="K65" s="54"/>
      <c r="L65" s="53"/>
      <c r="M65" s="53"/>
      <c r="N65" s="53"/>
      <c r="O65" s="53"/>
      <c r="P65" s="53"/>
      <c r="Q65" s="55"/>
      <c r="R65" s="53"/>
      <c r="S65" s="53"/>
    </row>
  </sheetData>
  <conditionalFormatting sqref="K13:K65">
    <cfRule type="cellIs" dxfId="21" priority="1" operator="greaterThan">
      <formula>$G$8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WaterReuseDistributionTree.WaterReuseDistributionTree">
                <anchor moveWithCells="1" sizeWithCells="1">
                  <from>
                    <xdr:col>1</xdr:col>
                    <xdr:colOff>352425</xdr:colOff>
                    <xdr:row>1</xdr:row>
                    <xdr:rowOff>66675</xdr:rowOff>
                  </from>
                  <to>
                    <xdr:col>3</xdr:col>
                    <xdr:colOff>733425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/>
  </sheetPr>
  <dimension ref="A1:AE1214"/>
  <sheetViews>
    <sheetView zoomScale="70" zoomScaleNormal="70" workbookViewId="0">
      <selection activeCell="E24" sqref="E24"/>
    </sheetView>
  </sheetViews>
  <sheetFormatPr baseColWidth="10" defaultRowHeight="15" x14ac:dyDescent="0.25"/>
  <cols>
    <col min="1" max="1" width="4.7109375" style="21" customWidth="1"/>
    <col min="2" max="2" width="11.42578125" style="21"/>
    <col min="3" max="3" width="17.140625" style="21" bestFit="1" customWidth="1"/>
    <col min="4" max="8" width="11.42578125" style="21"/>
    <col min="9" max="10" width="11.42578125" style="25"/>
    <col min="11" max="11" width="11.42578125" style="21"/>
    <col min="12" max="12" width="13.140625" style="22" customWidth="1"/>
    <col min="13" max="14" width="11.42578125" style="21"/>
    <col min="15" max="15" width="15.140625" style="21" customWidth="1"/>
    <col min="16" max="28" width="11.42578125" style="21"/>
    <col min="29" max="29" width="18.85546875" style="21" bestFit="1" customWidth="1"/>
    <col min="30" max="30" width="13.140625" style="21" bestFit="1" customWidth="1"/>
    <col min="31" max="16384" width="11.42578125" style="21"/>
  </cols>
  <sheetData>
    <row r="1" spans="1:31" x14ac:dyDescent="0.25">
      <c r="A1" s="21">
        <v>1</v>
      </c>
      <c r="B1" s="21">
        <v>2</v>
      </c>
      <c r="C1" s="21">
        <v>3</v>
      </c>
      <c r="D1" s="21">
        <v>4</v>
      </c>
      <c r="E1" s="21">
        <v>5</v>
      </c>
      <c r="F1" s="21">
        <v>6</v>
      </c>
      <c r="G1" s="21">
        <v>7</v>
      </c>
      <c r="H1" s="21">
        <v>8</v>
      </c>
      <c r="I1" s="21">
        <v>9</v>
      </c>
      <c r="J1" s="21">
        <v>10</v>
      </c>
      <c r="K1" s="21">
        <v>11</v>
      </c>
      <c r="L1" s="21">
        <v>12</v>
      </c>
      <c r="M1" s="21">
        <v>13</v>
      </c>
      <c r="N1" s="21">
        <v>14</v>
      </c>
      <c r="O1" s="21">
        <v>15</v>
      </c>
      <c r="P1" s="21">
        <v>16</v>
      </c>
      <c r="Q1" s="21">
        <v>17</v>
      </c>
      <c r="R1" s="21">
        <v>18</v>
      </c>
      <c r="S1" s="21">
        <v>19</v>
      </c>
    </row>
    <row r="2" spans="1:31" x14ac:dyDescent="0.25">
      <c r="I2" s="21"/>
      <c r="J2" s="21"/>
    </row>
    <row r="3" spans="1:31" x14ac:dyDescent="0.25">
      <c r="I3" s="21"/>
      <c r="J3" s="21"/>
    </row>
    <row r="4" spans="1:31" x14ac:dyDescent="0.25">
      <c r="I4" s="21"/>
      <c r="J4" s="21"/>
      <c r="O4" s="32"/>
      <c r="AC4" s="32"/>
      <c r="AD4" s="32"/>
      <c r="AE4" s="32"/>
    </row>
    <row r="5" spans="1:31" x14ac:dyDescent="0.25">
      <c r="B5" s="27" t="s">
        <v>23</v>
      </c>
      <c r="C5" s="27" t="s">
        <v>23</v>
      </c>
      <c r="D5" s="27" t="s">
        <v>23</v>
      </c>
      <c r="E5" s="27" t="s">
        <v>24</v>
      </c>
      <c r="F5" s="27" t="s">
        <v>24</v>
      </c>
      <c r="G5" s="27" t="s">
        <v>24</v>
      </c>
      <c r="H5" s="27" t="s">
        <v>24</v>
      </c>
      <c r="I5" s="27" t="s">
        <v>24</v>
      </c>
      <c r="J5" s="27" t="s">
        <v>49</v>
      </c>
      <c r="K5" s="27" t="s">
        <v>24</v>
      </c>
      <c r="L5" s="28" t="s">
        <v>24</v>
      </c>
      <c r="M5" s="27" t="s">
        <v>24</v>
      </c>
      <c r="N5" s="27" t="s">
        <v>50</v>
      </c>
      <c r="O5" s="27" t="s">
        <v>4</v>
      </c>
      <c r="P5" s="27" t="s">
        <v>24</v>
      </c>
      <c r="Q5" s="27" t="s">
        <v>50</v>
      </c>
      <c r="R5" s="27" t="s">
        <v>4</v>
      </c>
      <c r="S5" s="27" t="s">
        <v>23</v>
      </c>
      <c r="T5" s="27" t="s">
        <v>23</v>
      </c>
      <c r="U5" s="27" t="s">
        <v>23</v>
      </c>
    </row>
    <row r="6" spans="1:31" s="23" customFormat="1" ht="45" x14ac:dyDescent="0.25">
      <c r="B6" s="16" t="s">
        <v>6</v>
      </c>
      <c r="C6" s="16" t="s">
        <v>71</v>
      </c>
      <c r="D6" s="16" t="s">
        <v>72</v>
      </c>
      <c r="E6" s="16" t="s">
        <v>67</v>
      </c>
      <c r="F6" s="16" t="s">
        <v>68</v>
      </c>
      <c r="G6" s="16" t="s">
        <v>69</v>
      </c>
      <c r="H6" s="16" t="s">
        <v>70</v>
      </c>
      <c r="I6" s="16" t="s">
        <v>51</v>
      </c>
      <c r="J6" s="16" t="s">
        <v>52</v>
      </c>
      <c r="K6" s="16" t="s">
        <v>7</v>
      </c>
      <c r="L6" s="17" t="s">
        <v>8</v>
      </c>
      <c r="M6" s="16" t="s">
        <v>9</v>
      </c>
      <c r="N6" s="18" t="s">
        <v>10</v>
      </c>
      <c r="O6" s="19" t="s">
        <v>11</v>
      </c>
      <c r="P6" s="20" t="s">
        <v>12</v>
      </c>
      <c r="Q6" s="18" t="s">
        <v>13</v>
      </c>
      <c r="R6" s="19" t="s">
        <v>14</v>
      </c>
      <c r="S6" s="16" t="s">
        <v>15</v>
      </c>
      <c r="T6" s="16" t="s">
        <v>16</v>
      </c>
      <c r="U6" s="16" t="s">
        <v>17</v>
      </c>
      <c r="V6" s="21"/>
      <c r="W6" s="21"/>
      <c r="X6" s="21"/>
      <c r="Y6" s="21"/>
      <c r="Z6" s="21"/>
      <c r="AA6" s="21"/>
      <c r="AB6" s="21"/>
    </row>
    <row r="7" spans="1:31" x14ac:dyDescent="0.25">
      <c r="B7"/>
      <c r="C7"/>
      <c r="D7"/>
      <c r="E7" s="2"/>
      <c r="F7" s="2"/>
      <c r="G7" s="2"/>
      <c r="H7" s="2"/>
      <c r="I7" s="1"/>
      <c r="J7" s="1"/>
      <c r="K7"/>
      <c r="L7"/>
      <c r="M7"/>
      <c r="N7" s="3"/>
      <c r="O7" s="2"/>
      <c r="P7" s="2"/>
      <c r="Q7" s="3"/>
      <c r="R7" s="2"/>
      <c r="S7"/>
      <c r="T7"/>
      <c r="U7"/>
      <c r="AC7" s="31"/>
      <c r="AD7" s="24"/>
      <c r="AE7" s="24"/>
    </row>
    <row r="8" spans="1:31" x14ac:dyDescent="0.25">
      <c r="B8"/>
      <c r="C8"/>
      <c r="D8"/>
      <c r="E8" s="2"/>
      <c r="F8" s="2"/>
      <c r="G8" s="2"/>
      <c r="H8" s="2"/>
      <c r="I8" s="1"/>
      <c r="J8" s="1"/>
      <c r="K8"/>
      <c r="L8"/>
      <c r="M8"/>
      <c r="N8" s="3"/>
      <c r="O8" s="2"/>
      <c r="P8" s="2"/>
      <c r="Q8" s="3"/>
      <c r="R8" s="2"/>
      <c r="S8"/>
      <c r="T8"/>
      <c r="U8"/>
      <c r="AC8" s="31"/>
      <c r="AD8" s="24"/>
      <c r="AE8" s="24"/>
    </row>
    <row r="9" spans="1:31" x14ac:dyDescent="0.25">
      <c r="B9"/>
      <c r="C9"/>
      <c r="D9"/>
      <c r="E9" s="2"/>
      <c r="F9" s="2"/>
      <c r="G9" s="2"/>
      <c r="H9" s="2"/>
      <c r="I9" s="1"/>
      <c r="J9" s="1"/>
      <c r="K9"/>
      <c r="L9"/>
      <c r="M9"/>
      <c r="N9" s="3"/>
      <c r="O9" s="2"/>
      <c r="P9" s="2"/>
      <c r="Q9" s="3"/>
      <c r="R9" s="2"/>
      <c r="S9"/>
      <c r="T9"/>
      <c r="U9"/>
      <c r="AC9" s="31"/>
      <c r="AD9" s="24"/>
      <c r="AE9" s="24"/>
    </row>
    <row r="10" spans="1:31" x14ac:dyDescent="0.25">
      <c r="B10"/>
      <c r="C10"/>
      <c r="D10"/>
      <c r="E10" s="2"/>
      <c r="F10" s="2"/>
      <c r="G10" s="2"/>
      <c r="H10" s="2"/>
      <c r="I10" s="1"/>
      <c r="J10" s="1"/>
      <c r="K10"/>
      <c r="L10"/>
      <c r="M10"/>
      <c r="N10" s="3"/>
      <c r="O10" s="2"/>
      <c r="P10" s="2"/>
      <c r="Q10" s="3"/>
      <c r="R10" s="2"/>
      <c r="S10"/>
      <c r="T10"/>
      <c r="U10"/>
      <c r="AC10" s="31"/>
      <c r="AD10" s="24"/>
      <c r="AE10" s="24"/>
    </row>
    <row r="11" spans="1:31" x14ac:dyDescent="0.25">
      <c r="B11"/>
      <c r="C11"/>
      <c r="D11"/>
      <c r="E11" s="2"/>
      <c r="F11" s="2"/>
      <c r="G11" s="2"/>
      <c r="H11" s="2"/>
      <c r="I11" s="1"/>
      <c r="J11" s="1"/>
      <c r="K11"/>
      <c r="L11"/>
      <c r="M11"/>
      <c r="N11" s="3"/>
      <c r="O11" s="2"/>
      <c r="P11" s="2"/>
      <c r="Q11" s="3"/>
      <c r="R11" s="2"/>
      <c r="S11"/>
      <c r="T11"/>
      <c r="U11"/>
      <c r="AC11" s="31"/>
      <c r="AD11" s="24"/>
      <c r="AE11" s="24"/>
    </row>
    <row r="12" spans="1:31" x14ac:dyDescent="0.25">
      <c r="B12"/>
      <c r="C12"/>
      <c r="D12"/>
      <c r="E12" s="2"/>
      <c r="F12" s="2"/>
      <c r="G12" s="2"/>
      <c r="H12" s="2"/>
      <c r="I12" s="1"/>
      <c r="J12" s="1"/>
      <c r="K12"/>
      <c r="L12"/>
      <c r="M12"/>
      <c r="N12" s="3"/>
      <c r="O12" s="2"/>
      <c r="P12" s="2"/>
      <c r="Q12" s="3"/>
      <c r="R12" s="2"/>
      <c r="S12"/>
      <c r="T12"/>
      <c r="U12"/>
      <c r="AC12" s="31"/>
      <c r="AD12" s="24"/>
      <c r="AE12" s="24"/>
    </row>
    <row r="13" spans="1:31" x14ac:dyDescent="0.25">
      <c r="B13"/>
      <c r="C13"/>
      <c r="D13"/>
      <c r="E13" s="2"/>
      <c r="F13" s="2"/>
      <c r="G13" s="2"/>
      <c r="H13" s="2"/>
      <c r="I13" s="1"/>
      <c r="J13" s="1"/>
      <c r="K13"/>
      <c r="L13"/>
      <c r="M13"/>
      <c r="N13" s="3"/>
      <c r="O13" s="2"/>
      <c r="P13" s="2"/>
      <c r="Q13" s="3"/>
      <c r="R13" s="2"/>
      <c r="S13"/>
      <c r="T13"/>
      <c r="U13"/>
      <c r="AC13" s="31"/>
      <c r="AD13" s="24"/>
      <c r="AE13" s="24"/>
    </row>
    <row r="14" spans="1:31" x14ac:dyDescent="0.25">
      <c r="B14"/>
      <c r="C14"/>
      <c r="D14"/>
      <c r="E14" s="2"/>
      <c r="F14" s="2"/>
      <c r="G14" s="2"/>
      <c r="H14" s="2"/>
      <c r="I14" s="1"/>
      <c r="J14" s="1"/>
      <c r="K14"/>
      <c r="L14"/>
      <c r="M14"/>
      <c r="N14" s="3"/>
      <c r="O14" s="2"/>
      <c r="P14" s="2"/>
      <c r="Q14" s="3"/>
      <c r="R14" s="2"/>
      <c r="S14"/>
      <c r="T14"/>
      <c r="U14"/>
      <c r="AC14" s="31"/>
      <c r="AD14" s="24"/>
      <c r="AE14" s="24"/>
    </row>
    <row r="15" spans="1:31" x14ac:dyDescent="0.25">
      <c r="B15"/>
      <c r="C15"/>
      <c r="D15"/>
      <c r="E15" s="2"/>
      <c r="F15" s="2"/>
      <c r="G15" s="2"/>
      <c r="H15" s="2"/>
      <c r="I15" s="1"/>
      <c r="J15" s="1"/>
      <c r="K15"/>
      <c r="L15"/>
      <c r="M15"/>
      <c r="N15" s="3"/>
      <c r="O15" s="2"/>
      <c r="P15" s="2"/>
      <c r="Q15" s="3"/>
      <c r="R15" s="2"/>
      <c r="S15"/>
      <c r="T15"/>
      <c r="U15"/>
      <c r="AC15" s="31"/>
      <c r="AD15" s="24"/>
      <c r="AE15" s="24"/>
    </row>
    <row r="16" spans="1:31" x14ac:dyDescent="0.25">
      <c r="B16"/>
      <c r="C16"/>
      <c r="D16"/>
      <c r="E16" s="2"/>
      <c r="F16" s="2"/>
      <c r="G16" s="2"/>
      <c r="H16" s="2"/>
      <c r="I16" s="1"/>
      <c r="J16" s="1"/>
      <c r="K16"/>
      <c r="L16"/>
      <c r="M16"/>
      <c r="N16" s="3"/>
      <c r="O16" s="2"/>
      <c r="P16" s="2"/>
      <c r="Q16" s="3"/>
      <c r="R16" s="2"/>
      <c r="S16"/>
      <c r="T16"/>
      <c r="U16"/>
      <c r="AC16" s="31"/>
      <c r="AD16" s="24"/>
      <c r="AE16" s="24"/>
    </row>
    <row r="17" spans="2:31" x14ac:dyDescent="0.25">
      <c r="B17"/>
      <c r="C17"/>
      <c r="D17"/>
      <c r="E17" s="2"/>
      <c r="F17" s="2"/>
      <c r="G17" s="2"/>
      <c r="H17" s="2"/>
      <c r="I17" s="1"/>
      <c r="J17" s="1"/>
      <c r="K17"/>
      <c r="L17"/>
      <c r="M17"/>
      <c r="N17" s="3"/>
      <c r="O17" s="2"/>
      <c r="P17" s="2"/>
      <c r="Q17" s="3"/>
      <c r="R17" s="2"/>
      <c r="S17"/>
      <c r="T17"/>
      <c r="U17"/>
      <c r="AC17" s="31"/>
      <c r="AD17" s="24"/>
      <c r="AE17" s="24"/>
    </row>
    <row r="18" spans="2:31" x14ac:dyDescent="0.25">
      <c r="B18"/>
      <c r="C18"/>
      <c r="D18"/>
      <c r="E18" s="2"/>
      <c r="F18" s="2"/>
      <c r="G18" s="2"/>
      <c r="H18" s="2"/>
      <c r="I18" s="1"/>
      <c r="J18" s="1"/>
      <c r="K18"/>
      <c r="L18"/>
      <c r="M18"/>
      <c r="N18" s="3"/>
      <c r="O18" s="2"/>
      <c r="P18" s="2"/>
      <c r="Q18" s="3"/>
      <c r="R18" s="2"/>
      <c r="S18"/>
      <c r="T18"/>
      <c r="U18"/>
      <c r="AC18" s="31"/>
      <c r="AD18" s="24"/>
      <c r="AE18" s="24"/>
    </row>
    <row r="19" spans="2:31" x14ac:dyDescent="0.25">
      <c r="B19"/>
      <c r="C19"/>
      <c r="D19"/>
      <c r="E19" s="2"/>
      <c r="F19" s="2"/>
      <c r="G19" s="2"/>
      <c r="H19" s="2"/>
      <c r="I19" s="1"/>
      <c r="J19" s="1"/>
      <c r="K19"/>
      <c r="L19"/>
      <c r="M19"/>
      <c r="N19" s="3"/>
      <c r="O19" s="2"/>
      <c r="P19" s="2"/>
      <c r="Q19" s="3"/>
      <c r="R19" s="2"/>
      <c r="S19"/>
      <c r="T19"/>
      <c r="U19"/>
      <c r="AC19" s="31"/>
      <c r="AD19" s="24"/>
      <c r="AE19" s="24"/>
    </row>
    <row r="20" spans="2:31" x14ac:dyDescent="0.25">
      <c r="B20"/>
      <c r="C20"/>
      <c r="D20"/>
      <c r="E20" s="2"/>
      <c r="F20" s="2"/>
      <c r="G20" s="2"/>
      <c r="H20" s="2"/>
      <c r="I20" s="1"/>
      <c r="J20" s="1"/>
      <c r="K20"/>
      <c r="L20"/>
      <c r="M20"/>
      <c r="N20" s="3"/>
      <c r="O20" s="2"/>
      <c r="P20" s="2"/>
      <c r="Q20" s="3"/>
      <c r="R20" s="2"/>
      <c r="S20"/>
      <c r="T20"/>
      <c r="U20"/>
      <c r="AC20" s="31"/>
      <c r="AD20" s="24"/>
      <c r="AE20" s="24"/>
    </row>
    <row r="21" spans="2:31" x14ac:dyDescent="0.25">
      <c r="B21"/>
      <c r="C21"/>
      <c r="D21"/>
      <c r="E21" s="2"/>
      <c r="F21" s="2"/>
      <c r="G21" s="2"/>
      <c r="H21" s="2"/>
      <c r="I21" s="1"/>
      <c r="J21" s="1"/>
      <c r="K21"/>
      <c r="L21"/>
      <c r="M21"/>
      <c r="N21" s="3"/>
      <c r="O21" s="2"/>
      <c r="P21" s="2"/>
      <c r="Q21" s="3"/>
      <c r="R21" s="2"/>
      <c r="S21"/>
      <c r="T21"/>
      <c r="U21"/>
      <c r="AC21" s="31"/>
      <c r="AD21" s="24"/>
      <c r="AE21" s="24"/>
    </row>
    <row r="22" spans="2:31" x14ac:dyDescent="0.25">
      <c r="B22"/>
      <c r="C22"/>
      <c r="D22"/>
      <c r="E22" s="2"/>
      <c r="F22" s="2"/>
      <c r="G22" s="2"/>
      <c r="H22" s="2"/>
      <c r="I22" s="1"/>
      <c r="J22" s="1"/>
      <c r="K22"/>
      <c r="L22"/>
      <c r="M22"/>
      <c r="N22" s="3"/>
      <c r="O22" s="2"/>
      <c r="P22" s="2"/>
      <c r="Q22" s="3"/>
      <c r="R22" s="2"/>
      <c r="S22"/>
      <c r="T22"/>
      <c r="U22"/>
      <c r="AC22" s="31"/>
      <c r="AD22" s="24"/>
      <c r="AE22" s="24"/>
    </row>
    <row r="23" spans="2:31" x14ac:dyDescent="0.25">
      <c r="B23"/>
      <c r="C23"/>
      <c r="D23"/>
      <c r="E23" s="2"/>
      <c r="F23" s="2"/>
      <c r="G23" s="2"/>
      <c r="H23" s="2"/>
      <c r="I23" s="1"/>
      <c r="J23" s="1"/>
      <c r="K23"/>
      <c r="L23"/>
      <c r="M23"/>
      <c r="N23" s="3"/>
      <c r="O23" s="2"/>
      <c r="P23" s="2"/>
      <c r="Q23" s="3"/>
      <c r="R23" s="2"/>
      <c r="S23"/>
      <c r="T23"/>
      <c r="U23"/>
      <c r="AC23" s="31"/>
      <c r="AD23" s="24"/>
      <c r="AE23" s="24"/>
    </row>
    <row r="24" spans="2:31" x14ac:dyDescent="0.25">
      <c r="B24"/>
      <c r="C24"/>
      <c r="D24"/>
      <c r="E24" s="2"/>
      <c r="F24" s="2"/>
      <c r="G24" s="2"/>
      <c r="H24" s="2"/>
      <c r="I24" s="1"/>
      <c r="J24" s="1"/>
      <c r="K24"/>
      <c r="L24"/>
      <c r="M24"/>
      <c r="N24" s="3"/>
      <c r="O24" s="2"/>
      <c r="P24" s="2"/>
      <c r="Q24" s="3"/>
      <c r="R24" s="2"/>
      <c r="S24"/>
      <c r="T24"/>
      <c r="U24"/>
      <c r="AC24" s="31"/>
      <c r="AD24" s="24"/>
      <c r="AE24" s="24"/>
    </row>
    <row r="25" spans="2:31" x14ac:dyDescent="0.25">
      <c r="B25"/>
      <c r="C25"/>
      <c r="D25"/>
      <c r="E25" s="2"/>
      <c r="F25" s="2"/>
      <c r="G25" s="2"/>
      <c r="H25" s="2"/>
      <c r="I25" s="1"/>
      <c r="J25" s="1"/>
      <c r="K25"/>
      <c r="L25"/>
      <c r="M25"/>
      <c r="N25" s="3"/>
      <c r="O25" s="2"/>
      <c r="P25" s="2"/>
      <c r="Q25" s="3"/>
      <c r="R25" s="2"/>
      <c r="S25"/>
      <c r="T25"/>
      <c r="U25"/>
      <c r="AC25" s="31"/>
      <c r="AD25" s="24"/>
      <c r="AE25" s="24"/>
    </row>
    <row r="26" spans="2:31" x14ac:dyDescent="0.25">
      <c r="B26"/>
      <c r="C26"/>
      <c r="D26"/>
      <c r="E26" s="2"/>
      <c r="F26" s="2"/>
      <c r="G26" s="2"/>
      <c r="H26" s="2"/>
      <c r="I26" s="1"/>
      <c r="J26" s="1"/>
      <c r="K26"/>
      <c r="L26"/>
      <c r="M26"/>
      <c r="N26" s="3"/>
      <c r="O26" s="2"/>
      <c r="P26" s="2"/>
      <c r="Q26" s="3"/>
      <c r="R26" s="2"/>
      <c r="S26"/>
      <c r="T26"/>
      <c r="U26"/>
      <c r="AC26" s="31"/>
      <c r="AD26" s="24"/>
      <c r="AE26" s="24"/>
    </row>
    <row r="27" spans="2:31" x14ac:dyDescent="0.25">
      <c r="B27"/>
      <c r="C27"/>
      <c r="D27"/>
      <c r="E27" s="2"/>
      <c r="F27" s="2"/>
      <c r="G27" s="2"/>
      <c r="H27" s="2"/>
      <c r="I27" s="1"/>
      <c r="J27" s="1"/>
      <c r="K27"/>
      <c r="L27"/>
      <c r="M27"/>
      <c r="N27" s="3"/>
      <c r="O27" s="2"/>
      <c r="P27" s="2"/>
      <c r="Q27" s="3"/>
      <c r="R27" s="2"/>
      <c r="S27"/>
      <c r="T27"/>
      <c r="U27"/>
      <c r="AC27" s="31"/>
      <c r="AD27" s="24"/>
      <c r="AE27" s="24"/>
    </row>
    <row r="28" spans="2:31" x14ac:dyDescent="0.25">
      <c r="B28"/>
      <c r="C28"/>
      <c r="D28"/>
      <c r="E28" s="2"/>
      <c r="F28" s="2"/>
      <c r="G28" s="2"/>
      <c r="H28" s="2"/>
      <c r="I28" s="1"/>
      <c r="J28" s="1"/>
      <c r="K28"/>
      <c r="L28"/>
      <c r="M28"/>
      <c r="N28" s="3"/>
      <c r="O28" s="2"/>
      <c r="P28" s="2"/>
      <c r="Q28" s="3"/>
      <c r="R28" s="2"/>
      <c r="S28"/>
      <c r="T28"/>
      <c r="U28"/>
      <c r="AC28" s="31"/>
      <c r="AD28" s="24"/>
      <c r="AE28" s="24"/>
    </row>
    <row r="29" spans="2:31" x14ac:dyDescent="0.25">
      <c r="B29"/>
      <c r="C29"/>
      <c r="D29"/>
      <c r="E29" s="2"/>
      <c r="F29" s="2"/>
      <c r="G29" s="2"/>
      <c r="H29" s="2"/>
      <c r="I29" s="1"/>
      <c r="J29" s="1"/>
      <c r="K29"/>
      <c r="L29"/>
      <c r="M29"/>
      <c r="N29" s="3"/>
      <c r="O29" s="2"/>
      <c r="P29" s="2"/>
      <c r="Q29" s="3"/>
      <c r="R29" s="2"/>
      <c r="S29"/>
      <c r="T29"/>
      <c r="U29"/>
      <c r="AC29" s="31"/>
      <c r="AD29" s="24"/>
      <c r="AE29" s="24"/>
    </row>
    <row r="30" spans="2:31" x14ac:dyDescent="0.25">
      <c r="B30"/>
      <c r="C30"/>
      <c r="D30"/>
      <c r="E30" s="2"/>
      <c r="F30" s="2"/>
      <c r="G30" s="2"/>
      <c r="H30" s="2"/>
      <c r="I30" s="1"/>
      <c r="J30" s="1"/>
      <c r="K30"/>
      <c r="L30"/>
      <c r="M30"/>
      <c r="N30" s="3"/>
      <c r="O30" s="2"/>
      <c r="P30" s="2"/>
      <c r="Q30" s="3"/>
      <c r="R30" s="2"/>
      <c r="S30"/>
      <c r="T30"/>
      <c r="U30"/>
      <c r="AC30" s="31"/>
      <c r="AD30" s="24"/>
      <c r="AE30" s="24"/>
    </row>
    <row r="31" spans="2:31" x14ac:dyDescent="0.25">
      <c r="B31"/>
      <c r="C31"/>
      <c r="D31"/>
      <c r="E31" s="2"/>
      <c r="F31" s="2"/>
      <c r="G31" s="2"/>
      <c r="H31" s="2"/>
      <c r="I31" s="1"/>
      <c r="J31" s="1"/>
      <c r="K31"/>
      <c r="L31"/>
      <c r="M31"/>
      <c r="N31" s="3"/>
      <c r="O31" s="2"/>
      <c r="P31" s="2"/>
      <c r="Q31" s="3"/>
      <c r="R31" s="2"/>
      <c r="S31"/>
      <c r="T31"/>
      <c r="U31"/>
      <c r="AC31" s="31"/>
      <c r="AD31" s="24"/>
      <c r="AE31" s="24"/>
    </row>
    <row r="32" spans="2:31" x14ac:dyDescent="0.25">
      <c r="B32"/>
      <c r="C32"/>
      <c r="D32"/>
      <c r="E32" s="2"/>
      <c r="F32" s="2"/>
      <c r="G32" s="2"/>
      <c r="H32" s="2"/>
      <c r="I32" s="1"/>
      <c r="J32" s="1"/>
      <c r="K32"/>
      <c r="L32"/>
      <c r="M32"/>
      <c r="N32" s="3"/>
      <c r="O32" s="2"/>
      <c r="P32" s="2"/>
      <c r="Q32" s="3"/>
      <c r="R32" s="2"/>
      <c r="S32"/>
      <c r="T32"/>
      <c r="U32"/>
      <c r="AC32" s="31"/>
      <c r="AD32" s="24"/>
      <c r="AE32" s="24"/>
    </row>
    <row r="33" spans="2:31" x14ac:dyDescent="0.25">
      <c r="B33"/>
      <c r="C33"/>
      <c r="D33"/>
      <c r="E33" s="2"/>
      <c r="F33" s="2"/>
      <c r="G33" s="2"/>
      <c r="H33" s="2"/>
      <c r="I33" s="1"/>
      <c r="J33" s="1"/>
      <c r="K33"/>
      <c r="L33"/>
      <c r="M33"/>
      <c r="N33" s="3"/>
      <c r="O33" s="2"/>
      <c r="P33" s="2"/>
      <c r="Q33" s="3"/>
      <c r="R33" s="2"/>
      <c r="S33"/>
      <c r="T33"/>
      <c r="U33"/>
      <c r="AC33" s="31"/>
      <c r="AD33" s="24"/>
      <c r="AE33" s="24"/>
    </row>
    <row r="34" spans="2:31" x14ac:dyDescent="0.25">
      <c r="B34"/>
      <c r="C34"/>
      <c r="D34"/>
      <c r="E34" s="2"/>
      <c r="F34" s="2"/>
      <c r="G34" s="2"/>
      <c r="H34" s="2"/>
      <c r="I34" s="1"/>
      <c r="J34" s="1"/>
      <c r="K34"/>
      <c r="L34"/>
      <c r="M34"/>
      <c r="N34" s="3"/>
      <c r="O34" s="2"/>
      <c r="P34" s="2"/>
      <c r="Q34" s="3"/>
      <c r="R34" s="2"/>
      <c r="S34"/>
      <c r="T34"/>
      <c r="U34"/>
      <c r="AC34" s="31"/>
      <c r="AD34" s="24"/>
      <c r="AE34" s="24"/>
    </row>
    <row r="35" spans="2:31" x14ac:dyDescent="0.25">
      <c r="B35"/>
      <c r="C35"/>
      <c r="D35"/>
      <c r="E35" s="2"/>
      <c r="F35" s="2"/>
      <c r="G35" s="2"/>
      <c r="H35" s="2"/>
      <c r="I35" s="1"/>
      <c r="J35" s="1"/>
      <c r="K35"/>
      <c r="L35"/>
      <c r="M35"/>
      <c r="N35" s="3"/>
      <c r="O35" s="2"/>
      <c r="P35" s="2"/>
      <c r="Q35" s="3"/>
      <c r="R35" s="2"/>
      <c r="S35"/>
      <c r="T35"/>
      <c r="U35"/>
      <c r="AC35" s="31"/>
      <c r="AD35" s="24"/>
      <c r="AE35" s="24"/>
    </row>
    <row r="36" spans="2:31" x14ac:dyDescent="0.25">
      <c r="B36"/>
      <c r="C36"/>
      <c r="D36"/>
      <c r="E36" s="2"/>
      <c r="F36" s="2"/>
      <c r="G36" s="2"/>
      <c r="H36" s="2"/>
      <c r="I36" s="1"/>
      <c r="J36" s="1"/>
      <c r="K36"/>
      <c r="L36"/>
      <c r="M36"/>
      <c r="N36" s="3"/>
      <c r="O36" s="2"/>
      <c r="P36" s="2"/>
      <c r="Q36" s="3"/>
      <c r="R36" s="2"/>
      <c r="S36"/>
      <c r="T36"/>
      <c r="U36"/>
      <c r="AC36" s="31"/>
      <c r="AD36" s="24"/>
      <c r="AE36" s="24"/>
    </row>
    <row r="37" spans="2:31" x14ac:dyDescent="0.25">
      <c r="B37"/>
      <c r="C37"/>
      <c r="D37"/>
      <c r="E37" s="2"/>
      <c r="F37" s="2"/>
      <c r="G37" s="2"/>
      <c r="H37" s="2"/>
      <c r="I37" s="1"/>
      <c r="J37" s="1"/>
      <c r="K37"/>
      <c r="L37"/>
      <c r="M37"/>
      <c r="N37" s="3"/>
      <c r="O37" s="2"/>
      <c r="P37" s="2"/>
      <c r="Q37" s="3"/>
      <c r="R37" s="2"/>
      <c r="S37"/>
      <c r="T37"/>
      <c r="U37"/>
      <c r="AC37" s="31"/>
      <c r="AD37" s="24"/>
      <c r="AE37" s="24"/>
    </row>
    <row r="38" spans="2:31" x14ac:dyDescent="0.25">
      <c r="B38"/>
      <c r="C38"/>
      <c r="D38"/>
      <c r="E38" s="2"/>
      <c r="F38" s="2"/>
      <c r="G38" s="2"/>
      <c r="H38" s="2"/>
      <c r="I38" s="1"/>
      <c r="J38" s="1"/>
      <c r="K38"/>
      <c r="L38"/>
      <c r="M38"/>
      <c r="N38" s="3"/>
      <c r="O38" s="2"/>
      <c r="P38" s="2"/>
      <c r="Q38" s="3"/>
      <c r="R38" s="2"/>
      <c r="S38"/>
      <c r="T38"/>
      <c r="U38"/>
      <c r="AC38" s="31"/>
      <c r="AD38" s="24"/>
      <c r="AE38" s="24"/>
    </row>
    <row r="39" spans="2:31" x14ac:dyDescent="0.25">
      <c r="B39"/>
      <c r="C39"/>
      <c r="D39"/>
      <c r="E39" s="2"/>
      <c r="F39" s="2"/>
      <c r="G39" s="2"/>
      <c r="H39" s="2"/>
      <c r="I39" s="1"/>
      <c r="J39" s="1"/>
      <c r="K39"/>
      <c r="L39"/>
      <c r="M39"/>
      <c r="N39" s="3"/>
      <c r="O39" s="2"/>
      <c r="P39" s="2"/>
      <c r="Q39" s="3"/>
      <c r="R39" s="2"/>
      <c r="S39"/>
      <c r="T39"/>
      <c r="U39"/>
      <c r="AC39" s="31"/>
      <c r="AD39" s="24"/>
      <c r="AE39" s="24"/>
    </row>
    <row r="40" spans="2:31" x14ac:dyDescent="0.25">
      <c r="B40"/>
      <c r="C40"/>
      <c r="D40"/>
      <c r="E40" s="2"/>
      <c r="F40" s="2"/>
      <c r="G40" s="2"/>
      <c r="H40" s="2"/>
      <c r="I40" s="1"/>
      <c r="J40" s="1"/>
      <c r="K40"/>
      <c r="L40"/>
      <c r="M40"/>
      <c r="N40" s="3"/>
      <c r="O40" s="2"/>
      <c r="P40" s="2"/>
      <c r="Q40" s="3"/>
      <c r="R40" s="2"/>
      <c r="S40"/>
      <c r="T40"/>
      <c r="U40"/>
      <c r="AC40" s="31"/>
      <c r="AD40" s="24"/>
      <c r="AE40" s="24"/>
    </row>
    <row r="41" spans="2:31" x14ac:dyDescent="0.25">
      <c r="B41"/>
      <c r="C41"/>
      <c r="D41"/>
      <c r="E41" s="2"/>
      <c r="F41" s="2"/>
      <c r="G41" s="2"/>
      <c r="H41" s="2"/>
      <c r="I41" s="1"/>
      <c r="J41" s="1"/>
      <c r="K41"/>
      <c r="L41"/>
      <c r="M41"/>
      <c r="N41" s="3"/>
      <c r="O41" s="2"/>
      <c r="P41" s="2"/>
      <c r="Q41" s="3"/>
      <c r="R41" s="2"/>
      <c r="S41"/>
      <c r="T41"/>
      <c r="U41"/>
      <c r="AC41" s="31"/>
      <c r="AD41" s="24"/>
      <c r="AE41" s="24"/>
    </row>
    <row r="42" spans="2:31" x14ac:dyDescent="0.25">
      <c r="B42"/>
      <c r="C42"/>
      <c r="D42"/>
      <c r="E42" s="2"/>
      <c r="F42" s="2"/>
      <c r="G42" s="2"/>
      <c r="H42" s="2"/>
      <c r="I42" s="1"/>
      <c r="J42" s="1"/>
      <c r="K42"/>
      <c r="L42"/>
      <c r="M42"/>
      <c r="N42" s="3"/>
      <c r="O42" s="2"/>
      <c r="P42" s="2"/>
      <c r="Q42" s="3"/>
      <c r="R42" s="2"/>
      <c r="S42"/>
      <c r="T42"/>
      <c r="U42"/>
      <c r="AC42" s="31"/>
      <c r="AD42" s="24"/>
      <c r="AE42" s="24"/>
    </row>
    <row r="43" spans="2:31" x14ac:dyDescent="0.25">
      <c r="B43"/>
      <c r="C43"/>
      <c r="D43"/>
      <c r="E43" s="2"/>
      <c r="F43" s="2"/>
      <c r="G43" s="2"/>
      <c r="H43" s="2"/>
      <c r="I43" s="1"/>
      <c r="J43" s="1"/>
      <c r="K43"/>
      <c r="L43"/>
      <c r="M43"/>
      <c r="N43" s="3"/>
      <c r="O43" s="2"/>
      <c r="P43" s="2"/>
      <c r="Q43" s="3"/>
      <c r="R43" s="2"/>
      <c r="S43"/>
      <c r="T43"/>
      <c r="U43"/>
      <c r="AC43" s="31"/>
      <c r="AD43" s="24"/>
      <c r="AE43" s="24"/>
    </row>
    <row r="44" spans="2:31" x14ac:dyDescent="0.25">
      <c r="B44"/>
      <c r="C44"/>
      <c r="D44"/>
      <c r="E44" s="2"/>
      <c r="F44" s="2"/>
      <c r="G44" s="2"/>
      <c r="H44" s="2"/>
      <c r="I44" s="1"/>
      <c r="J44" s="1"/>
      <c r="K44"/>
      <c r="L44"/>
      <c r="M44"/>
      <c r="N44" s="3"/>
      <c r="O44" s="2"/>
      <c r="P44" s="2"/>
      <c r="Q44" s="3"/>
      <c r="R44" s="2"/>
      <c r="S44"/>
      <c r="T44"/>
      <c r="U44"/>
      <c r="AC44" s="31"/>
      <c r="AD44" s="24"/>
      <c r="AE44" s="24"/>
    </row>
    <row r="45" spans="2:31" x14ac:dyDescent="0.25">
      <c r="B45"/>
      <c r="C45"/>
      <c r="D45"/>
      <c r="E45" s="2"/>
      <c r="F45" s="2"/>
      <c r="G45" s="2"/>
      <c r="H45" s="2"/>
      <c r="I45" s="1"/>
      <c r="J45" s="1"/>
      <c r="K45"/>
      <c r="L45"/>
      <c r="M45"/>
      <c r="N45" s="3"/>
      <c r="O45" s="2"/>
      <c r="P45" s="2"/>
      <c r="Q45" s="3"/>
      <c r="R45" s="2"/>
      <c r="S45"/>
      <c r="T45"/>
      <c r="U45"/>
      <c r="AC45" s="31"/>
      <c r="AD45" s="24"/>
      <c r="AE45" s="24"/>
    </row>
    <row r="46" spans="2:31" x14ac:dyDescent="0.25">
      <c r="B46"/>
      <c r="C46"/>
      <c r="D46"/>
      <c r="E46" s="2"/>
      <c r="F46" s="2"/>
      <c r="G46" s="2"/>
      <c r="H46" s="2"/>
      <c r="I46" s="1"/>
      <c r="J46" s="1"/>
      <c r="K46"/>
      <c r="L46"/>
      <c r="M46"/>
      <c r="N46" s="3"/>
      <c r="O46" s="2"/>
      <c r="P46" s="2"/>
      <c r="Q46" s="3"/>
      <c r="R46" s="2"/>
      <c r="S46"/>
      <c r="T46"/>
      <c r="U46"/>
      <c r="AC46" s="31"/>
      <c r="AD46" s="24"/>
      <c r="AE46" s="24"/>
    </row>
    <row r="47" spans="2:31" x14ac:dyDescent="0.25">
      <c r="B47"/>
      <c r="C47"/>
      <c r="D47"/>
      <c r="E47" s="2"/>
      <c r="F47" s="2"/>
      <c r="G47" s="2"/>
      <c r="H47" s="2"/>
      <c r="I47" s="1"/>
      <c r="J47" s="1"/>
      <c r="K47"/>
      <c r="L47"/>
      <c r="M47"/>
      <c r="N47" s="3"/>
      <c r="O47" s="2"/>
      <c r="P47" s="2"/>
      <c r="Q47" s="3"/>
      <c r="R47" s="2"/>
      <c r="S47"/>
      <c r="T47"/>
      <c r="U47"/>
      <c r="AC47" s="31"/>
      <c r="AD47" s="24"/>
      <c r="AE47" s="24"/>
    </row>
    <row r="48" spans="2:31" x14ac:dyDescent="0.25">
      <c r="B48"/>
      <c r="C48"/>
      <c r="D48"/>
      <c r="E48" s="2"/>
      <c r="F48" s="2"/>
      <c r="G48" s="2"/>
      <c r="H48" s="2"/>
      <c r="I48" s="1"/>
      <c r="J48" s="1"/>
      <c r="K48"/>
      <c r="L48"/>
      <c r="M48"/>
      <c r="N48" s="3"/>
      <c r="O48" s="2"/>
      <c r="P48" s="2"/>
      <c r="Q48" s="3"/>
      <c r="R48" s="2"/>
      <c r="S48"/>
      <c r="T48"/>
      <c r="U48"/>
      <c r="AC48" s="31"/>
      <c r="AD48" s="24"/>
      <c r="AE48" s="24"/>
    </row>
    <row r="49" spans="2:31" x14ac:dyDescent="0.25">
      <c r="B49"/>
      <c r="C49"/>
      <c r="D49"/>
      <c r="E49" s="2"/>
      <c r="F49" s="2"/>
      <c r="G49" s="2"/>
      <c r="H49" s="2"/>
      <c r="I49" s="1"/>
      <c r="J49" s="1"/>
      <c r="K49"/>
      <c r="L49"/>
      <c r="M49"/>
      <c r="N49" s="3"/>
      <c r="O49" s="2"/>
      <c r="P49" s="2"/>
      <c r="Q49" s="3"/>
      <c r="R49" s="2"/>
      <c r="S49"/>
      <c r="T49"/>
      <c r="U49"/>
      <c r="AC49" s="31"/>
      <c r="AD49" s="24"/>
      <c r="AE49" s="24"/>
    </row>
    <row r="50" spans="2:31" x14ac:dyDescent="0.25">
      <c r="B50"/>
      <c r="C50"/>
      <c r="D50"/>
      <c r="E50" s="2"/>
      <c r="F50" s="2"/>
      <c r="G50" s="2"/>
      <c r="H50" s="2"/>
      <c r="I50" s="1"/>
      <c r="J50" s="1"/>
      <c r="K50"/>
      <c r="L50"/>
      <c r="M50"/>
      <c r="N50" s="3"/>
      <c r="O50" s="2"/>
      <c r="P50" s="2"/>
      <c r="Q50" s="3"/>
      <c r="R50" s="2"/>
      <c r="S50"/>
      <c r="T50"/>
      <c r="U50"/>
      <c r="AC50" s="31"/>
      <c r="AD50" s="24"/>
      <c r="AE50" s="24"/>
    </row>
    <row r="51" spans="2:31" x14ac:dyDescent="0.25">
      <c r="B51"/>
      <c r="C51"/>
      <c r="D51"/>
      <c r="E51" s="2"/>
      <c r="F51" s="2"/>
      <c r="G51" s="2"/>
      <c r="H51" s="2"/>
      <c r="I51" s="1"/>
      <c r="J51" s="1"/>
      <c r="K51"/>
      <c r="L51"/>
      <c r="M51"/>
      <c r="N51" s="3"/>
      <c r="O51" s="2"/>
      <c r="P51" s="2"/>
      <c r="Q51" s="3"/>
      <c r="R51" s="2"/>
      <c r="S51"/>
      <c r="T51"/>
      <c r="U51"/>
      <c r="AC51" s="31"/>
      <c r="AD51" s="24"/>
      <c r="AE51" s="24"/>
    </row>
    <row r="52" spans="2:31" x14ac:dyDescent="0.25">
      <c r="B52"/>
      <c r="C52"/>
      <c r="D52"/>
      <c r="E52" s="2"/>
      <c r="F52" s="2"/>
      <c r="G52" s="2"/>
      <c r="H52" s="2"/>
      <c r="I52" s="1"/>
      <c r="J52" s="1"/>
      <c r="K52"/>
      <c r="L52"/>
      <c r="M52"/>
      <c r="N52" s="3"/>
      <c r="O52" s="2"/>
      <c r="P52" s="2"/>
      <c r="Q52" s="3"/>
      <c r="R52" s="2"/>
      <c r="S52"/>
      <c r="T52"/>
      <c r="U52"/>
      <c r="AC52" s="31"/>
      <c r="AD52" s="24"/>
      <c r="AE52" s="24"/>
    </row>
    <row r="53" spans="2:31" x14ac:dyDescent="0.25">
      <c r="B53"/>
      <c r="C53"/>
      <c r="D53"/>
      <c r="E53" s="2"/>
      <c r="F53" s="2"/>
      <c r="G53" s="2"/>
      <c r="H53" s="2"/>
      <c r="I53" s="1"/>
      <c r="J53" s="1"/>
      <c r="K53"/>
      <c r="L53"/>
      <c r="M53"/>
      <c r="N53" s="3"/>
      <c r="O53" s="2"/>
      <c r="P53" s="2"/>
      <c r="Q53" s="3"/>
      <c r="R53" s="2"/>
      <c r="S53"/>
      <c r="T53"/>
      <c r="U53"/>
    </row>
    <row r="54" spans="2:31" x14ac:dyDescent="0.25">
      <c r="B54"/>
      <c r="C54"/>
      <c r="D54"/>
      <c r="E54" s="2"/>
      <c r="F54" s="2"/>
      <c r="G54" s="2"/>
      <c r="H54" s="2"/>
      <c r="I54" s="1"/>
      <c r="J54" s="1"/>
      <c r="K54"/>
      <c r="L54"/>
      <c r="M54"/>
      <c r="N54" s="3"/>
      <c r="O54" s="2"/>
      <c r="P54" s="2"/>
      <c r="Q54" s="3"/>
      <c r="R54" s="2"/>
      <c r="S54"/>
      <c r="T54"/>
      <c r="U54"/>
    </row>
    <row r="55" spans="2:31" x14ac:dyDescent="0.25">
      <c r="B55"/>
      <c r="C55"/>
      <c r="D55"/>
      <c r="E55" s="2"/>
      <c r="F55" s="2"/>
      <c r="G55" s="2"/>
      <c r="H55" s="2"/>
      <c r="I55" s="1"/>
      <c r="J55" s="1"/>
      <c r="K55"/>
      <c r="L55"/>
      <c r="M55"/>
      <c r="N55" s="3"/>
      <c r="O55" s="2"/>
      <c r="P55" s="2"/>
      <c r="Q55" s="3"/>
      <c r="R55" s="2"/>
      <c r="S55"/>
      <c r="T55"/>
      <c r="U55"/>
    </row>
    <row r="56" spans="2:31" x14ac:dyDescent="0.25">
      <c r="B56"/>
      <c r="C56"/>
      <c r="D56"/>
      <c r="E56" s="2"/>
      <c r="F56" s="2"/>
      <c r="G56" s="2"/>
      <c r="H56" s="2"/>
      <c r="I56" s="1"/>
      <c r="J56" s="1"/>
      <c r="K56"/>
      <c r="L56"/>
      <c r="M56"/>
      <c r="N56" s="3"/>
      <c r="O56" s="2"/>
      <c r="P56" s="2"/>
      <c r="Q56" s="3"/>
      <c r="R56" s="2"/>
      <c r="S56"/>
      <c r="T56"/>
      <c r="U56"/>
    </row>
    <row r="57" spans="2:31" x14ac:dyDescent="0.25">
      <c r="B57"/>
      <c r="C57"/>
      <c r="D57"/>
      <c r="E57" s="2"/>
      <c r="F57" s="2"/>
      <c r="G57" s="2"/>
      <c r="H57" s="2"/>
      <c r="I57" s="1"/>
      <c r="J57" s="1"/>
      <c r="K57"/>
      <c r="L57"/>
      <c r="M57"/>
      <c r="N57" s="3"/>
      <c r="O57" s="2"/>
      <c r="P57" s="2"/>
      <c r="Q57" s="3"/>
      <c r="R57" s="2"/>
      <c r="S57"/>
      <c r="T57"/>
      <c r="U57"/>
    </row>
    <row r="58" spans="2:31" x14ac:dyDescent="0.25">
      <c r="B58"/>
      <c r="C58"/>
      <c r="D58"/>
      <c r="E58" s="2"/>
      <c r="F58" s="2"/>
      <c r="G58" s="2"/>
      <c r="H58" s="2"/>
      <c r="I58" s="1"/>
      <c r="J58" s="1"/>
      <c r="K58"/>
      <c r="L58"/>
      <c r="M58"/>
      <c r="N58" s="3"/>
      <c r="O58" s="2"/>
      <c r="P58" s="2"/>
      <c r="Q58" s="3"/>
      <c r="R58" s="2"/>
      <c r="S58"/>
      <c r="T58"/>
      <c r="U58"/>
    </row>
    <row r="59" spans="2:31" x14ac:dyDescent="0.25">
      <c r="B59"/>
      <c r="C59"/>
      <c r="D59"/>
      <c r="E59" s="2"/>
      <c r="F59" s="2"/>
      <c r="G59" s="2"/>
      <c r="H59" s="2"/>
      <c r="I59" s="1"/>
      <c r="J59" s="1"/>
      <c r="K59"/>
      <c r="L59"/>
      <c r="M59"/>
      <c r="N59" s="3"/>
      <c r="O59" s="2"/>
      <c r="P59" s="2"/>
      <c r="Q59" s="3"/>
      <c r="R59" s="2"/>
      <c r="S59"/>
      <c r="T59"/>
      <c r="U59"/>
    </row>
    <row r="60" spans="2:31" x14ac:dyDescent="0.25">
      <c r="B60"/>
      <c r="C60"/>
      <c r="D60"/>
      <c r="E60" s="2"/>
      <c r="F60" s="2"/>
      <c r="G60" s="2"/>
      <c r="H60" s="2"/>
      <c r="I60" s="1"/>
      <c r="J60" s="1"/>
      <c r="K60"/>
      <c r="L60"/>
      <c r="M60"/>
      <c r="N60" s="3"/>
      <c r="O60" s="2"/>
      <c r="P60" s="2"/>
      <c r="Q60" s="3"/>
      <c r="R60" s="2"/>
      <c r="S60"/>
      <c r="T60"/>
      <c r="U60"/>
    </row>
    <row r="61" spans="2:31" x14ac:dyDescent="0.25">
      <c r="B61"/>
      <c r="C61"/>
      <c r="D61"/>
      <c r="E61" s="2"/>
      <c r="F61" s="2"/>
      <c r="G61" s="2"/>
      <c r="H61" s="2"/>
      <c r="I61" s="1"/>
      <c r="J61" s="1"/>
      <c r="K61"/>
      <c r="L61"/>
      <c r="M61"/>
      <c r="N61" s="3"/>
      <c r="O61" s="2"/>
      <c r="P61" s="2"/>
      <c r="Q61" s="3"/>
      <c r="R61" s="2"/>
      <c r="S61"/>
      <c r="T61"/>
      <c r="U61"/>
    </row>
    <row r="62" spans="2:31" x14ac:dyDescent="0.25">
      <c r="B62"/>
      <c r="C62"/>
      <c r="D62"/>
      <c r="E62" s="2"/>
      <c r="F62" s="2"/>
      <c r="G62" s="2"/>
      <c r="H62" s="2"/>
      <c r="I62" s="1"/>
      <c r="J62" s="1"/>
      <c r="K62"/>
      <c r="L62"/>
      <c r="M62"/>
      <c r="N62" s="3"/>
      <c r="O62" s="2"/>
      <c r="P62" s="2"/>
      <c r="Q62" s="3"/>
      <c r="R62" s="2"/>
      <c r="S62"/>
      <c r="T62"/>
      <c r="U62"/>
    </row>
    <row r="63" spans="2:31" x14ac:dyDescent="0.25">
      <c r="B63"/>
      <c r="C63"/>
      <c r="D63"/>
      <c r="E63" s="2"/>
      <c r="F63" s="2"/>
      <c r="G63" s="2"/>
      <c r="H63" s="2"/>
      <c r="I63" s="1"/>
      <c r="J63" s="1"/>
      <c r="K63"/>
      <c r="L63"/>
      <c r="M63"/>
      <c r="N63" s="3"/>
      <c r="O63" s="2"/>
      <c r="P63" s="2"/>
      <c r="Q63" s="3"/>
      <c r="R63" s="2"/>
      <c r="S63"/>
      <c r="T63"/>
      <c r="U63"/>
    </row>
    <row r="64" spans="2:31" x14ac:dyDescent="0.25">
      <c r="B64"/>
      <c r="C64"/>
      <c r="D64"/>
      <c r="E64" s="2"/>
      <c r="F64" s="2"/>
      <c r="G64" s="2"/>
      <c r="H64" s="2"/>
      <c r="I64" s="1"/>
      <c r="J64" s="1"/>
      <c r="K64"/>
      <c r="L64"/>
      <c r="M64"/>
      <c r="N64" s="3"/>
      <c r="O64" s="2"/>
      <c r="P64" s="2"/>
      <c r="Q64" s="3"/>
      <c r="R64" s="2"/>
      <c r="S64"/>
      <c r="T64"/>
      <c r="U64"/>
    </row>
    <row r="65" spans="2:21" x14ac:dyDescent="0.25">
      <c r="B65"/>
      <c r="C65"/>
      <c r="D65"/>
      <c r="E65" s="2"/>
      <c r="F65" s="2"/>
      <c r="G65" s="2"/>
      <c r="H65" s="2"/>
      <c r="I65" s="1"/>
      <c r="J65" s="1"/>
      <c r="K65"/>
      <c r="L65"/>
      <c r="M65"/>
      <c r="N65" s="3"/>
      <c r="O65" s="2"/>
      <c r="P65" s="2"/>
      <c r="Q65" s="3"/>
      <c r="R65" s="2"/>
      <c r="S65"/>
      <c r="T65"/>
      <c r="U65"/>
    </row>
    <row r="66" spans="2:21" x14ac:dyDescent="0.25">
      <c r="B66"/>
      <c r="C66"/>
      <c r="D66"/>
      <c r="E66" s="2"/>
      <c r="F66" s="2"/>
      <c r="G66" s="2"/>
      <c r="H66" s="2"/>
      <c r="I66" s="1"/>
      <c r="J66" s="1"/>
      <c r="K66"/>
      <c r="L66"/>
      <c r="M66"/>
      <c r="N66" s="3"/>
      <c r="O66" s="2"/>
      <c r="P66" s="2"/>
      <c r="Q66" s="3"/>
      <c r="R66" s="2"/>
      <c r="S66"/>
      <c r="T66"/>
      <c r="U66"/>
    </row>
    <row r="67" spans="2:21" x14ac:dyDescent="0.25">
      <c r="B67"/>
      <c r="C67"/>
      <c r="D67"/>
      <c r="E67" s="2"/>
      <c r="F67" s="2"/>
      <c r="G67" s="2"/>
      <c r="H67" s="2"/>
      <c r="I67" s="1"/>
      <c r="J67" s="1"/>
      <c r="K67"/>
      <c r="L67"/>
      <c r="M67"/>
      <c r="N67" s="3"/>
      <c r="O67" s="2"/>
      <c r="P67" s="2"/>
      <c r="Q67" s="3"/>
      <c r="R67" s="2"/>
      <c r="S67"/>
      <c r="T67"/>
      <c r="U67"/>
    </row>
    <row r="68" spans="2:21" x14ac:dyDescent="0.25">
      <c r="B68"/>
      <c r="C68"/>
      <c r="D68"/>
      <c r="E68" s="2"/>
      <c r="F68" s="2"/>
      <c r="G68" s="2"/>
      <c r="H68" s="2"/>
      <c r="I68" s="1"/>
      <c r="J68" s="1"/>
      <c r="K68"/>
      <c r="L68"/>
      <c r="M68"/>
      <c r="N68" s="3"/>
      <c r="O68" s="2"/>
      <c r="P68" s="2"/>
      <c r="Q68" s="3"/>
      <c r="R68" s="2"/>
      <c r="S68"/>
      <c r="T68"/>
      <c r="U68"/>
    </row>
    <row r="69" spans="2:21" x14ac:dyDescent="0.25">
      <c r="B69"/>
      <c r="C69"/>
      <c r="D69"/>
      <c r="E69" s="2"/>
      <c r="F69" s="2"/>
      <c r="G69" s="2"/>
      <c r="H69" s="2"/>
      <c r="I69" s="1"/>
      <c r="J69" s="1"/>
      <c r="K69"/>
      <c r="L69"/>
      <c r="M69"/>
      <c r="N69" s="3"/>
      <c r="O69" s="2"/>
      <c r="P69" s="2"/>
      <c r="Q69" s="3"/>
      <c r="R69" s="2"/>
      <c r="S69"/>
      <c r="T69"/>
      <c r="U69"/>
    </row>
    <row r="70" spans="2:21" x14ac:dyDescent="0.25">
      <c r="B70"/>
      <c r="C70"/>
      <c r="D70"/>
      <c r="E70" s="2"/>
      <c r="F70" s="2"/>
      <c r="G70" s="2"/>
      <c r="H70" s="2"/>
      <c r="I70" s="1"/>
      <c r="J70" s="1"/>
      <c r="K70"/>
      <c r="L70"/>
      <c r="M70"/>
      <c r="N70" s="3"/>
      <c r="O70" s="2"/>
      <c r="P70" s="2"/>
      <c r="Q70" s="3"/>
      <c r="R70" s="2"/>
      <c r="S70"/>
      <c r="T70"/>
      <c r="U70"/>
    </row>
    <row r="71" spans="2:21" x14ac:dyDescent="0.25">
      <c r="B71"/>
      <c r="C71"/>
      <c r="D71"/>
      <c r="E71" s="2"/>
      <c r="F71" s="2"/>
      <c r="G71" s="2"/>
      <c r="H71" s="2"/>
      <c r="I71" s="1"/>
      <c r="J71" s="1"/>
      <c r="K71"/>
      <c r="L71"/>
      <c r="M71"/>
      <c r="N71" s="3"/>
      <c r="O71" s="2"/>
      <c r="P71" s="2"/>
      <c r="Q71" s="3"/>
      <c r="R71" s="2"/>
      <c r="S71"/>
      <c r="T71"/>
      <c r="U71"/>
    </row>
    <row r="72" spans="2:21" x14ac:dyDescent="0.25">
      <c r="B72"/>
      <c r="C72"/>
      <c r="D72"/>
      <c r="E72" s="2"/>
      <c r="F72" s="2"/>
      <c r="G72" s="2"/>
      <c r="H72" s="2"/>
      <c r="I72" s="1"/>
      <c r="J72" s="1"/>
      <c r="K72"/>
      <c r="L72"/>
      <c r="M72"/>
      <c r="N72" s="3"/>
      <c r="O72" s="2"/>
      <c r="P72" s="2"/>
      <c r="Q72" s="3"/>
      <c r="R72" s="2"/>
      <c r="S72"/>
      <c r="T72"/>
      <c r="U72"/>
    </row>
    <row r="73" spans="2:21" x14ac:dyDescent="0.25">
      <c r="B73"/>
      <c r="C73"/>
      <c r="D73"/>
      <c r="E73" s="2"/>
      <c r="F73" s="2"/>
      <c r="G73" s="2"/>
      <c r="H73" s="2"/>
      <c r="I73" s="1"/>
      <c r="J73" s="1"/>
      <c r="K73"/>
      <c r="L73"/>
      <c r="M73"/>
      <c r="N73" s="3"/>
      <c r="O73" s="2"/>
      <c r="P73" s="2"/>
      <c r="Q73" s="3"/>
      <c r="R73" s="2"/>
      <c r="S73"/>
      <c r="T73"/>
      <c r="U73"/>
    </row>
    <row r="74" spans="2:21" x14ac:dyDescent="0.25">
      <c r="B74"/>
      <c r="C74"/>
      <c r="D74"/>
      <c r="E74" s="2"/>
      <c r="F74" s="2"/>
      <c r="G74" s="2"/>
      <c r="H74" s="2"/>
      <c r="I74" s="1"/>
      <c r="J74" s="1"/>
      <c r="K74"/>
      <c r="L74"/>
      <c r="M74"/>
      <c r="N74" s="3"/>
      <c r="O74" s="2"/>
      <c r="P74" s="2"/>
      <c r="Q74" s="3"/>
      <c r="R74" s="2"/>
      <c r="S74"/>
      <c r="T74"/>
      <c r="U74"/>
    </row>
    <row r="75" spans="2:21" x14ac:dyDescent="0.25">
      <c r="B75"/>
      <c r="C75"/>
      <c r="D75"/>
      <c r="E75" s="2"/>
      <c r="F75" s="2"/>
      <c r="G75" s="2"/>
      <c r="H75" s="2"/>
      <c r="I75" s="1"/>
      <c r="J75" s="1"/>
      <c r="K75"/>
      <c r="L75"/>
      <c r="M75"/>
      <c r="N75" s="3"/>
      <c r="O75" s="2"/>
      <c r="P75" s="2"/>
      <c r="Q75" s="3"/>
      <c r="R75" s="2"/>
      <c r="S75"/>
      <c r="T75"/>
      <c r="U75"/>
    </row>
    <row r="76" spans="2:21" x14ac:dyDescent="0.25">
      <c r="B76"/>
      <c r="C76"/>
      <c r="D76"/>
      <c r="E76" s="2"/>
      <c r="F76" s="2"/>
      <c r="G76" s="2"/>
      <c r="H76" s="2"/>
      <c r="I76" s="1"/>
      <c r="J76" s="1"/>
      <c r="K76"/>
      <c r="L76"/>
      <c r="M76"/>
      <c r="N76" s="3"/>
      <c r="O76" s="2"/>
      <c r="P76" s="2"/>
      <c r="Q76" s="3"/>
      <c r="R76" s="2"/>
      <c r="S76"/>
      <c r="T76"/>
      <c r="U76"/>
    </row>
    <row r="77" spans="2:21" x14ac:dyDescent="0.25">
      <c r="B77"/>
      <c r="C77"/>
      <c r="D77"/>
      <c r="E77" s="2"/>
      <c r="F77" s="2"/>
      <c r="G77" s="2"/>
      <c r="H77" s="2"/>
      <c r="I77" s="1"/>
      <c r="J77" s="1"/>
      <c r="K77"/>
      <c r="L77"/>
      <c r="M77"/>
      <c r="N77" s="3"/>
      <c r="O77" s="2"/>
      <c r="P77" s="2"/>
      <c r="Q77" s="3"/>
      <c r="R77" s="2"/>
      <c r="S77"/>
      <c r="T77"/>
      <c r="U77"/>
    </row>
    <row r="78" spans="2:21" x14ac:dyDescent="0.25">
      <c r="B78"/>
      <c r="C78"/>
      <c r="D78"/>
      <c r="E78" s="2"/>
      <c r="F78" s="2"/>
      <c r="G78" s="2"/>
      <c r="H78" s="2"/>
      <c r="I78" s="1"/>
      <c r="J78" s="1"/>
      <c r="K78"/>
      <c r="L78"/>
      <c r="M78"/>
      <c r="N78" s="3"/>
      <c r="O78" s="2"/>
      <c r="P78" s="2"/>
      <c r="Q78" s="3"/>
      <c r="R78" s="2"/>
      <c r="S78"/>
      <c r="T78"/>
      <c r="U78"/>
    </row>
    <row r="79" spans="2:21" x14ac:dyDescent="0.25">
      <c r="B79"/>
      <c r="C79"/>
      <c r="D79"/>
      <c r="E79" s="2"/>
      <c r="F79" s="2"/>
      <c r="G79" s="2"/>
      <c r="H79" s="2"/>
      <c r="I79" s="1"/>
      <c r="J79" s="1"/>
      <c r="K79"/>
      <c r="L79"/>
      <c r="M79"/>
      <c r="N79" s="3"/>
      <c r="O79" s="2"/>
      <c r="P79" s="2"/>
      <c r="Q79" s="3"/>
      <c r="R79" s="2"/>
      <c r="S79"/>
      <c r="T79"/>
      <c r="U79"/>
    </row>
    <row r="80" spans="2:21" x14ac:dyDescent="0.25">
      <c r="B80"/>
      <c r="C80"/>
      <c r="D80"/>
      <c r="E80" s="2"/>
      <c r="F80" s="2"/>
      <c r="G80" s="2"/>
      <c r="H80" s="2"/>
      <c r="I80" s="1"/>
      <c r="J80" s="1"/>
      <c r="K80"/>
      <c r="L80"/>
      <c r="M80"/>
      <c r="N80" s="3"/>
      <c r="O80" s="2"/>
      <c r="P80" s="2"/>
      <c r="Q80" s="3"/>
      <c r="R80" s="2"/>
      <c r="S80"/>
      <c r="T80"/>
      <c r="U80"/>
    </row>
    <row r="81" spans="2:21" x14ac:dyDescent="0.25">
      <c r="B81"/>
      <c r="C81"/>
      <c r="D81"/>
      <c r="E81" s="2"/>
      <c r="F81" s="2"/>
      <c r="G81" s="2"/>
      <c r="H81" s="2"/>
      <c r="I81" s="1"/>
      <c r="J81" s="1"/>
      <c r="K81"/>
      <c r="L81"/>
      <c r="M81"/>
      <c r="N81" s="3"/>
      <c r="O81" s="2"/>
      <c r="P81" s="2"/>
      <c r="Q81" s="3"/>
      <c r="R81" s="2"/>
      <c r="S81"/>
      <c r="T81"/>
      <c r="U81"/>
    </row>
    <row r="82" spans="2:21" x14ac:dyDescent="0.25">
      <c r="B82"/>
      <c r="C82"/>
      <c r="D82"/>
      <c r="E82" s="2"/>
      <c r="F82" s="2"/>
      <c r="G82" s="2"/>
      <c r="H82" s="2"/>
      <c r="I82" s="1"/>
      <c r="J82" s="1"/>
      <c r="K82"/>
      <c r="L82"/>
      <c r="M82"/>
      <c r="N82" s="3"/>
      <c r="O82" s="2"/>
      <c r="P82" s="2"/>
      <c r="Q82" s="3"/>
      <c r="R82" s="2"/>
      <c r="S82"/>
      <c r="T82"/>
      <c r="U82"/>
    </row>
    <row r="83" spans="2:21" x14ac:dyDescent="0.25">
      <c r="B83"/>
      <c r="C83"/>
      <c r="D83"/>
      <c r="E83" s="2"/>
      <c r="F83" s="2"/>
      <c r="G83" s="2"/>
      <c r="H83" s="2"/>
      <c r="I83" s="1"/>
      <c r="J83" s="1"/>
      <c r="K83"/>
      <c r="L83"/>
      <c r="M83"/>
      <c r="N83" s="3"/>
      <c r="O83" s="2"/>
      <c r="P83" s="2"/>
      <c r="Q83" s="3"/>
      <c r="R83" s="2"/>
      <c r="S83"/>
      <c r="T83"/>
      <c r="U83"/>
    </row>
    <row r="84" spans="2:21" x14ac:dyDescent="0.25">
      <c r="B84"/>
      <c r="C84"/>
      <c r="D84"/>
      <c r="E84" s="2"/>
      <c r="F84" s="2"/>
      <c r="G84" s="2"/>
      <c r="H84" s="2"/>
      <c r="I84" s="1"/>
      <c r="J84" s="1"/>
      <c r="K84"/>
      <c r="L84"/>
      <c r="M84"/>
      <c r="N84" s="3"/>
      <c r="O84" s="2"/>
      <c r="P84" s="2"/>
      <c r="Q84" s="3"/>
      <c r="R84" s="2"/>
      <c r="S84"/>
      <c r="T84"/>
      <c r="U84"/>
    </row>
    <row r="85" spans="2:21" x14ac:dyDescent="0.25">
      <c r="B85"/>
      <c r="C85"/>
      <c r="D85"/>
      <c r="E85" s="2"/>
      <c r="F85" s="2"/>
      <c r="G85" s="2"/>
      <c r="H85" s="2"/>
      <c r="I85" s="1"/>
      <c r="J85" s="1"/>
      <c r="K85"/>
      <c r="L85"/>
      <c r="M85"/>
      <c r="N85" s="3"/>
      <c r="O85" s="2"/>
      <c r="P85" s="2"/>
      <c r="Q85" s="3"/>
      <c r="R85" s="2"/>
      <c r="S85"/>
      <c r="T85"/>
      <c r="U85"/>
    </row>
    <row r="86" spans="2:21" x14ac:dyDescent="0.25">
      <c r="B86"/>
      <c r="C86"/>
      <c r="D86"/>
      <c r="E86" s="2"/>
      <c r="F86" s="2"/>
      <c r="G86" s="2"/>
      <c r="H86" s="2"/>
      <c r="I86" s="1"/>
      <c r="J86" s="1"/>
      <c r="K86"/>
      <c r="L86"/>
      <c r="M86"/>
      <c r="N86" s="3"/>
      <c r="O86" s="2"/>
      <c r="P86" s="2"/>
      <c r="Q86" s="3"/>
      <c r="R86" s="2"/>
      <c r="S86"/>
      <c r="T86"/>
      <c r="U86"/>
    </row>
    <row r="87" spans="2:21" x14ac:dyDescent="0.25">
      <c r="B87"/>
      <c r="C87"/>
      <c r="D87"/>
      <c r="E87" s="2"/>
      <c r="F87" s="2"/>
      <c r="G87" s="2"/>
      <c r="H87" s="2"/>
      <c r="I87" s="1"/>
      <c r="J87" s="1"/>
      <c r="K87"/>
      <c r="L87"/>
      <c r="M87"/>
      <c r="N87" s="3"/>
      <c r="O87" s="2"/>
      <c r="P87" s="2"/>
      <c r="Q87" s="3"/>
      <c r="R87" s="2"/>
      <c r="S87"/>
      <c r="T87"/>
      <c r="U87"/>
    </row>
    <row r="88" spans="2:21" x14ac:dyDescent="0.25">
      <c r="B88"/>
      <c r="C88"/>
      <c r="D88"/>
      <c r="E88" s="2"/>
      <c r="F88" s="2"/>
      <c r="G88" s="2"/>
      <c r="H88" s="2"/>
      <c r="I88" s="1"/>
      <c r="J88" s="1"/>
      <c r="K88"/>
      <c r="L88"/>
      <c r="M88"/>
      <c r="N88" s="3"/>
      <c r="O88" s="2"/>
      <c r="P88" s="2"/>
      <c r="Q88" s="3"/>
      <c r="R88" s="2"/>
      <c r="S88"/>
      <c r="T88"/>
      <c r="U88"/>
    </row>
    <row r="89" spans="2:21" x14ac:dyDescent="0.25">
      <c r="B89"/>
      <c r="C89"/>
      <c r="D89"/>
      <c r="E89" s="2"/>
      <c r="F89" s="2"/>
      <c r="G89" s="2"/>
      <c r="H89" s="2"/>
      <c r="I89" s="1"/>
      <c r="J89" s="1"/>
      <c r="K89"/>
      <c r="L89"/>
      <c r="M89"/>
      <c r="N89" s="3"/>
      <c r="O89" s="2"/>
      <c r="P89" s="2"/>
      <c r="Q89" s="3"/>
      <c r="R89" s="2"/>
      <c r="S89"/>
      <c r="T89"/>
      <c r="U89"/>
    </row>
    <row r="90" spans="2:21" x14ac:dyDescent="0.25">
      <c r="B90"/>
      <c r="C90"/>
      <c r="D90"/>
      <c r="E90" s="2"/>
      <c r="F90" s="2"/>
      <c r="G90" s="2"/>
      <c r="H90" s="2"/>
      <c r="I90" s="1"/>
      <c r="J90" s="1"/>
      <c r="K90"/>
      <c r="L90"/>
      <c r="M90"/>
      <c r="N90" s="3"/>
      <c r="O90" s="2"/>
      <c r="P90" s="2"/>
      <c r="Q90" s="3"/>
      <c r="R90" s="2"/>
      <c r="S90"/>
      <c r="T90"/>
      <c r="U90"/>
    </row>
    <row r="91" spans="2:21" x14ac:dyDescent="0.25">
      <c r="B91"/>
      <c r="C91"/>
      <c r="D91"/>
      <c r="E91" s="2"/>
      <c r="F91" s="2"/>
      <c r="G91" s="2"/>
      <c r="H91" s="2"/>
      <c r="I91" s="1"/>
      <c r="J91" s="1"/>
      <c r="K91"/>
      <c r="L91"/>
      <c r="M91"/>
      <c r="N91" s="3"/>
      <c r="O91" s="2"/>
      <c r="P91" s="2"/>
      <c r="Q91" s="3"/>
      <c r="R91" s="2"/>
      <c r="S91"/>
      <c r="T91"/>
      <c r="U91"/>
    </row>
    <row r="92" spans="2:21" x14ac:dyDescent="0.25">
      <c r="B92"/>
      <c r="C92"/>
      <c r="D92"/>
      <c r="E92" s="2"/>
      <c r="F92" s="2"/>
      <c r="G92" s="2"/>
      <c r="H92" s="2"/>
      <c r="I92" s="1"/>
      <c r="J92" s="1"/>
      <c r="K92"/>
      <c r="L92"/>
      <c r="M92"/>
      <c r="N92" s="3"/>
      <c r="O92" s="2"/>
      <c r="P92" s="2"/>
      <c r="Q92" s="3"/>
      <c r="R92" s="2"/>
      <c r="S92"/>
      <c r="T92"/>
      <c r="U92"/>
    </row>
    <row r="93" spans="2:21" x14ac:dyDescent="0.25">
      <c r="B93"/>
      <c r="C93"/>
      <c r="D93"/>
      <c r="E93" s="2"/>
      <c r="F93" s="2"/>
      <c r="G93" s="2"/>
      <c r="H93" s="2"/>
      <c r="I93" s="1"/>
      <c r="J93" s="1"/>
      <c r="K93"/>
      <c r="L93"/>
      <c r="M93"/>
      <c r="N93" s="3"/>
      <c r="O93" s="2"/>
      <c r="P93" s="2"/>
      <c r="Q93" s="3"/>
      <c r="R93" s="2"/>
      <c r="S93"/>
      <c r="T93"/>
      <c r="U93"/>
    </row>
    <row r="94" spans="2:21" x14ac:dyDescent="0.25">
      <c r="E94" s="24"/>
      <c r="F94" s="24"/>
      <c r="G94" s="24"/>
      <c r="H94" s="24"/>
      <c r="L94" s="21"/>
      <c r="N94" s="26"/>
      <c r="O94" s="24"/>
      <c r="P94" s="24"/>
      <c r="Q94" s="26"/>
      <c r="R94" s="24"/>
    </row>
    <row r="95" spans="2:21" x14ac:dyDescent="0.25">
      <c r="E95" s="24"/>
      <c r="F95" s="24"/>
      <c r="G95" s="24"/>
      <c r="H95" s="24"/>
      <c r="L95" s="21"/>
      <c r="N95" s="26"/>
      <c r="O95" s="24"/>
      <c r="P95" s="24"/>
      <c r="Q95" s="26"/>
      <c r="R95" s="24"/>
    </row>
    <row r="96" spans="2:21" x14ac:dyDescent="0.25">
      <c r="E96" s="24"/>
      <c r="F96" s="24"/>
      <c r="G96" s="24"/>
      <c r="H96" s="24"/>
      <c r="L96" s="21"/>
      <c r="N96" s="26"/>
      <c r="O96" s="24"/>
      <c r="P96" s="24"/>
      <c r="Q96" s="26"/>
      <c r="R96" s="24"/>
    </row>
    <row r="97" spans="5:18" x14ac:dyDescent="0.25">
      <c r="E97" s="24"/>
      <c r="F97" s="24"/>
      <c r="G97" s="24"/>
      <c r="H97" s="24"/>
      <c r="L97" s="21"/>
      <c r="N97" s="26"/>
      <c r="O97" s="24"/>
      <c r="P97" s="24"/>
      <c r="Q97" s="26"/>
      <c r="R97" s="24"/>
    </row>
    <row r="98" spans="5:18" x14ac:dyDescent="0.25">
      <c r="E98" s="24"/>
      <c r="F98" s="24"/>
      <c r="G98" s="24"/>
      <c r="H98" s="24"/>
      <c r="L98" s="21"/>
      <c r="N98" s="26"/>
      <c r="O98" s="24"/>
      <c r="P98" s="24"/>
      <c r="Q98" s="26"/>
      <c r="R98" s="24"/>
    </row>
    <row r="99" spans="5:18" x14ac:dyDescent="0.25">
      <c r="E99" s="24"/>
      <c r="F99" s="24"/>
      <c r="G99" s="24"/>
      <c r="H99" s="24"/>
      <c r="L99" s="21"/>
      <c r="N99" s="26"/>
      <c r="O99" s="24"/>
      <c r="P99" s="24"/>
      <c r="Q99" s="26"/>
      <c r="R99" s="24"/>
    </row>
    <row r="100" spans="5:18" x14ac:dyDescent="0.25">
      <c r="E100" s="24"/>
      <c r="F100" s="24"/>
      <c r="G100" s="24"/>
      <c r="H100" s="24"/>
      <c r="L100" s="21"/>
      <c r="N100" s="26"/>
      <c r="O100" s="24"/>
      <c r="P100" s="24"/>
      <c r="Q100" s="26"/>
      <c r="R100" s="24"/>
    </row>
    <row r="101" spans="5:18" x14ac:dyDescent="0.25">
      <c r="E101" s="24"/>
      <c r="F101" s="24"/>
      <c r="G101" s="24"/>
      <c r="H101" s="24"/>
      <c r="L101" s="21"/>
      <c r="N101" s="26"/>
      <c r="O101" s="24"/>
      <c r="P101" s="24"/>
      <c r="Q101" s="26"/>
      <c r="R101" s="24"/>
    </row>
    <row r="102" spans="5:18" x14ac:dyDescent="0.25">
      <c r="E102" s="24"/>
      <c r="F102" s="24"/>
      <c r="G102" s="24"/>
      <c r="H102" s="24"/>
      <c r="L102" s="21"/>
      <c r="N102" s="26"/>
      <c r="O102" s="24"/>
      <c r="P102" s="24"/>
      <c r="Q102" s="26"/>
      <c r="R102" s="24"/>
    </row>
    <row r="103" spans="5:18" x14ac:dyDescent="0.25">
      <c r="E103" s="24"/>
      <c r="F103" s="24"/>
      <c r="G103" s="24"/>
      <c r="H103" s="24"/>
      <c r="L103" s="21"/>
      <c r="N103" s="26"/>
      <c r="O103" s="24"/>
      <c r="P103" s="24"/>
      <c r="Q103" s="26"/>
      <c r="R103" s="24"/>
    </row>
    <row r="104" spans="5:18" x14ac:dyDescent="0.25">
      <c r="E104" s="24"/>
      <c r="F104" s="24"/>
      <c r="G104" s="24"/>
      <c r="H104" s="24"/>
      <c r="L104" s="21"/>
      <c r="N104" s="26"/>
      <c r="O104" s="24"/>
      <c r="P104" s="24"/>
      <c r="Q104" s="26"/>
      <c r="R104" s="24"/>
    </row>
    <row r="105" spans="5:18" x14ac:dyDescent="0.25">
      <c r="E105" s="24"/>
      <c r="F105" s="24"/>
      <c r="G105" s="24"/>
      <c r="H105" s="24"/>
      <c r="L105" s="21"/>
      <c r="N105" s="26"/>
      <c r="O105" s="24"/>
      <c r="P105" s="24"/>
      <c r="Q105" s="26"/>
      <c r="R105" s="24"/>
    </row>
    <row r="106" spans="5:18" x14ac:dyDescent="0.25">
      <c r="E106" s="24"/>
      <c r="F106" s="24"/>
      <c r="G106" s="24"/>
      <c r="H106" s="24"/>
      <c r="L106" s="21"/>
      <c r="N106" s="26"/>
      <c r="O106" s="24"/>
      <c r="P106" s="24"/>
      <c r="Q106" s="26"/>
      <c r="R106" s="24"/>
    </row>
    <row r="107" spans="5:18" x14ac:dyDescent="0.25">
      <c r="E107" s="24"/>
      <c r="F107" s="24"/>
      <c r="G107" s="24"/>
      <c r="H107" s="24"/>
      <c r="L107" s="21"/>
      <c r="N107" s="26"/>
      <c r="O107" s="24"/>
      <c r="P107" s="24"/>
      <c r="Q107" s="26"/>
      <c r="R107" s="24"/>
    </row>
    <row r="108" spans="5:18" x14ac:dyDescent="0.25">
      <c r="E108" s="24"/>
      <c r="F108" s="24"/>
      <c r="G108" s="24"/>
      <c r="H108" s="24"/>
      <c r="L108" s="21"/>
      <c r="N108" s="26"/>
      <c r="O108" s="24"/>
      <c r="P108" s="24"/>
      <c r="Q108" s="26"/>
      <c r="R108" s="24"/>
    </row>
    <row r="109" spans="5:18" x14ac:dyDescent="0.25">
      <c r="E109" s="24"/>
      <c r="F109" s="24"/>
      <c r="G109" s="24"/>
      <c r="H109" s="24"/>
      <c r="L109" s="21"/>
      <c r="N109" s="26"/>
      <c r="O109" s="24"/>
      <c r="P109" s="24"/>
      <c r="Q109" s="26"/>
      <c r="R109" s="24"/>
    </row>
    <row r="110" spans="5:18" x14ac:dyDescent="0.25">
      <c r="E110" s="24"/>
      <c r="F110" s="24"/>
      <c r="G110" s="24"/>
      <c r="H110" s="24"/>
      <c r="L110" s="21"/>
      <c r="N110" s="26"/>
      <c r="O110" s="24"/>
      <c r="P110" s="24"/>
      <c r="Q110" s="26"/>
      <c r="R110" s="24"/>
    </row>
    <row r="111" spans="5:18" x14ac:dyDescent="0.25">
      <c r="E111" s="24"/>
      <c r="F111" s="24"/>
      <c r="G111" s="24"/>
      <c r="H111" s="24"/>
      <c r="L111" s="21"/>
      <c r="N111" s="26"/>
      <c r="O111" s="24"/>
      <c r="P111" s="24"/>
      <c r="Q111" s="26"/>
      <c r="R111" s="24"/>
    </row>
    <row r="112" spans="5:18" x14ac:dyDescent="0.25">
      <c r="E112" s="24"/>
      <c r="F112" s="24"/>
      <c r="G112" s="24"/>
      <c r="H112" s="24"/>
      <c r="L112" s="21"/>
      <c r="N112" s="26"/>
      <c r="O112" s="24"/>
      <c r="P112" s="24"/>
      <c r="Q112" s="26"/>
      <c r="R112" s="24"/>
    </row>
    <row r="113" spans="5:18" x14ac:dyDescent="0.25">
      <c r="E113" s="24"/>
      <c r="F113" s="24"/>
      <c r="G113" s="24"/>
      <c r="H113" s="24"/>
      <c r="L113" s="21"/>
      <c r="N113" s="26"/>
      <c r="O113" s="24"/>
      <c r="P113" s="24"/>
      <c r="Q113" s="26"/>
      <c r="R113" s="24"/>
    </row>
    <row r="114" spans="5:18" x14ac:dyDescent="0.25">
      <c r="E114" s="24"/>
      <c r="F114" s="24"/>
      <c r="G114" s="24"/>
      <c r="H114" s="24"/>
      <c r="L114" s="21"/>
      <c r="N114" s="26"/>
      <c r="O114" s="24"/>
      <c r="P114" s="24"/>
      <c r="Q114" s="26"/>
      <c r="R114" s="24"/>
    </row>
    <row r="115" spans="5:18" x14ac:dyDescent="0.25">
      <c r="E115" s="24"/>
      <c r="F115" s="24"/>
      <c r="G115" s="24"/>
      <c r="H115" s="24"/>
      <c r="L115" s="21"/>
      <c r="N115" s="26"/>
      <c r="O115" s="24"/>
      <c r="P115" s="24"/>
      <c r="Q115" s="26"/>
      <c r="R115" s="24"/>
    </row>
    <row r="116" spans="5:18" x14ac:dyDescent="0.25">
      <c r="E116" s="24"/>
      <c r="F116" s="24"/>
      <c r="G116" s="24"/>
      <c r="H116" s="24"/>
      <c r="L116" s="21"/>
      <c r="N116" s="26"/>
      <c r="O116" s="24"/>
      <c r="P116" s="24"/>
      <c r="Q116" s="26"/>
      <c r="R116" s="24"/>
    </row>
    <row r="117" spans="5:18" x14ac:dyDescent="0.25">
      <c r="E117" s="24"/>
      <c r="F117" s="24"/>
      <c r="G117" s="24"/>
      <c r="H117" s="24"/>
      <c r="L117" s="21"/>
      <c r="N117" s="26"/>
      <c r="O117" s="24"/>
      <c r="P117" s="24"/>
      <c r="Q117" s="26"/>
      <c r="R117" s="24"/>
    </row>
    <row r="118" spans="5:18" x14ac:dyDescent="0.25">
      <c r="E118" s="24"/>
      <c r="F118" s="24"/>
      <c r="G118" s="24"/>
      <c r="H118" s="24"/>
      <c r="L118" s="21"/>
      <c r="N118" s="26"/>
      <c r="O118" s="24"/>
      <c r="P118" s="24"/>
      <c r="Q118" s="26"/>
      <c r="R118" s="24"/>
    </row>
    <row r="119" spans="5:18" x14ac:dyDescent="0.25">
      <c r="E119" s="24"/>
      <c r="F119" s="24"/>
      <c r="G119" s="24"/>
      <c r="H119" s="24"/>
      <c r="L119" s="21"/>
      <c r="N119" s="26"/>
      <c r="O119" s="24"/>
      <c r="P119" s="24"/>
      <c r="Q119" s="26"/>
      <c r="R119" s="24"/>
    </row>
    <row r="120" spans="5:18" x14ac:dyDescent="0.25">
      <c r="E120" s="24"/>
      <c r="F120" s="24"/>
      <c r="G120" s="24"/>
      <c r="H120" s="24"/>
      <c r="L120" s="21"/>
      <c r="N120" s="26"/>
      <c r="O120" s="24"/>
      <c r="P120" s="24"/>
      <c r="Q120" s="26"/>
      <c r="R120" s="24"/>
    </row>
    <row r="121" spans="5:18" x14ac:dyDescent="0.25">
      <c r="E121" s="24"/>
      <c r="F121" s="24"/>
      <c r="G121" s="24"/>
      <c r="H121" s="24"/>
      <c r="L121" s="21"/>
      <c r="N121" s="26"/>
      <c r="O121" s="24"/>
      <c r="P121" s="24"/>
      <c r="Q121" s="26"/>
      <c r="R121" s="24"/>
    </row>
    <row r="122" spans="5:18" x14ac:dyDescent="0.25">
      <c r="E122" s="24"/>
      <c r="F122" s="24"/>
      <c r="G122" s="24"/>
      <c r="H122" s="24"/>
      <c r="L122" s="21"/>
      <c r="N122" s="26"/>
      <c r="O122" s="24"/>
      <c r="P122" s="24"/>
      <c r="Q122" s="26"/>
      <c r="R122" s="24"/>
    </row>
    <row r="123" spans="5:18" x14ac:dyDescent="0.25">
      <c r="E123" s="24"/>
      <c r="F123" s="24"/>
      <c r="G123" s="24"/>
      <c r="H123" s="24"/>
      <c r="L123" s="21"/>
      <c r="N123" s="26"/>
      <c r="O123" s="24"/>
      <c r="P123" s="24"/>
      <c r="Q123" s="26"/>
      <c r="R123" s="24"/>
    </row>
    <row r="124" spans="5:18" x14ac:dyDescent="0.25">
      <c r="E124" s="24"/>
      <c r="F124" s="24"/>
      <c r="G124" s="24"/>
      <c r="H124" s="24"/>
      <c r="L124" s="21"/>
      <c r="N124" s="26"/>
      <c r="O124" s="24"/>
      <c r="P124" s="24"/>
      <c r="Q124" s="26"/>
      <c r="R124" s="24"/>
    </row>
    <row r="125" spans="5:18" x14ac:dyDescent="0.25">
      <c r="E125" s="24"/>
      <c r="F125" s="24"/>
      <c r="G125" s="24"/>
      <c r="H125" s="24"/>
      <c r="L125" s="21"/>
      <c r="N125" s="26"/>
      <c r="O125" s="24"/>
      <c r="P125" s="24"/>
      <c r="Q125" s="26"/>
      <c r="R125" s="24"/>
    </row>
    <row r="126" spans="5:18" x14ac:dyDescent="0.25">
      <c r="E126" s="24"/>
      <c r="F126" s="24"/>
      <c r="G126" s="24"/>
      <c r="H126" s="24"/>
      <c r="L126" s="21"/>
      <c r="N126" s="26"/>
      <c r="O126" s="24"/>
      <c r="P126" s="24"/>
      <c r="Q126" s="26"/>
      <c r="R126" s="24"/>
    </row>
    <row r="127" spans="5:18" x14ac:dyDescent="0.25">
      <c r="E127" s="24"/>
      <c r="F127" s="24"/>
      <c r="G127" s="24"/>
      <c r="H127" s="24"/>
      <c r="L127" s="21"/>
      <c r="N127" s="26"/>
      <c r="O127" s="24"/>
      <c r="P127" s="24"/>
      <c r="Q127" s="26"/>
      <c r="R127" s="24"/>
    </row>
    <row r="128" spans="5:18" x14ac:dyDescent="0.25">
      <c r="E128" s="24"/>
      <c r="F128" s="24"/>
      <c r="G128" s="24"/>
      <c r="H128" s="24"/>
      <c r="L128" s="21"/>
      <c r="N128" s="26"/>
      <c r="O128" s="24"/>
      <c r="P128" s="24"/>
      <c r="Q128" s="26"/>
      <c r="R128" s="24"/>
    </row>
    <row r="129" spans="5:18" x14ac:dyDescent="0.25">
      <c r="E129" s="24"/>
      <c r="F129" s="24"/>
      <c r="G129" s="24"/>
      <c r="H129" s="24"/>
      <c r="L129" s="21"/>
      <c r="N129" s="26"/>
      <c r="O129" s="24"/>
      <c r="P129" s="24"/>
      <c r="Q129" s="26"/>
      <c r="R129" s="24"/>
    </row>
    <row r="130" spans="5:18" x14ac:dyDescent="0.25">
      <c r="E130" s="24"/>
      <c r="F130" s="24"/>
      <c r="G130" s="24"/>
      <c r="H130" s="24"/>
      <c r="L130" s="21"/>
      <c r="N130" s="26"/>
      <c r="O130" s="24"/>
      <c r="P130" s="24"/>
      <c r="Q130" s="26"/>
      <c r="R130" s="24"/>
    </row>
    <row r="131" spans="5:18" x14ac:dyDescent="0.25">
      <c r="E131" s="24"/>
      <c r="F131" s="24"/>
      <c r="G131" s="24"/>
      <c r="H131" s="24"/>
      <c r="L131" s="21"/>
      <c r="N131" s="26"/>
      <c r="O131" s="24"/>
      <c r="P131" s="24"/>
      <c r="Q131" s="26"/>
      <c r="R131" s="24"/>
    </row>
    <row r="132" spans="5:18" x14ac:dyDescent="0.25">
      <c r="E132" s="24"/>
      <c r="F132" s="24"/>
      <c r="G132" s="24"/>
      <c r="H132" s="24"/>
      <c r="L132" s="21"/>
      <c r="N132" s="26"/>
      <c r="O132" s="24"/>
      <c r="P132" s="24"/>
      <c r="Q132" s="26"/>
      <c r="R132" s="24"/>
    </row>
    <row r="133" spans="5:18" x14ac:dyDescent="0.25">
      <c r="E133" s="24"/>
      <c r="F133" s="24"/>
      <c r="G133" s="24"/>
      <c r="H133" s="24"/>
      <c r="L133" s="21"/>
      <c r="N133" s="26"/>
      <c r="O133" s="24"/>
      <c r="P133" s="24"/>
      <c r="Q133" s="26"/>
      <c r="R133" s="24"/>
    </row>
    <row r="134" spans="5:18" x14ac:dyDescent="0.25">
      <c r="E134" s="24"/>
      <c r="F134" s="24"/>
      <c r="G134" s="24"/>
      <c r="H134" s="24"/>
      <c r="L134" s="21"/>
      <c r="N134" s="26"/>
      <c r="O134" s="24"/>
      <c r="P134" s="24"/>
      <c r="Q134" s="26"/>
      <c r="R134" s="24"/>
    </row>
    <row r="135" spans="5:18" x14ac:dyDescent="0.25">
      <c r="E135" s="24"/>
      <c r="F135" s="24"/>
      <c r="G135" s="24"/>
      <c r="H135" s="24"/>
      <c r="L135" s="21"/>
      <c r="N135" s="26"/>
      <c r="O135" s="24"/>
      <c r="P135" s="24"/>
      <c r="Q135" s="26"/>
      <c r="R135" s="24"/>
    </row>
    <row r="136" spans="5:18" x14ac:dyDescent="0.25">
      <c r="E136" s="24"/>
      <c r="F136" s="24"/>
      <c r="G136" s="24"/>
      <c r="H136" s="24"/>
      <c r="L136" s="21"/>
      <c r="N136" s="26"/>
      <c r="O136" s="24"/>
      <c r="P136" s="24"/>
      <c r="Q136" s="26"/>
      <c r="R136" s="24"/>
    </row>
    <row r="137" spans="5:18" x14ac:dyDescent="0.25">
      <c r="E137" s="24"/>
      <c r="F137" s="24"/>
      <c r="G137" s="24"/>
      <c r="H137" s="24"/>
      <c r="L137" s="21"/>
      <c r="N137" s="26"/>
      <c r="O137" s="24"/>
      <c r="P137" s="24"/>
      <c r="Q137" s="26"/>
      <c r="R137" s="24"/>
    </row>
    <row r="138" spans="5:18" x14ac:dyDescent="0.25">
      <c r="E138" s="24"/>
      <c r="F138" s="24"/>
      <c r="G138" s="24"/>
      <c r="H138" s="24"/>
      <c r="L138" s="21"/>
      <c r="N138" s="26"/>
      <c r="O138" s="24"/>
      <c r="P138" s="24"/>
      <c r="Q138" s="26"/>
      <c r="R138" s="24"/>
    </row>
    <row r="139" spans="5:18" x14ac:dyDescent="0.25">
      <c r="E139" s="24"/>
      <c r="F139" s="24"/>
      <c r="G139" s="24"/>
      <c r="H139" s="24"/>
      <c r="L139" s="21"/>
      <c r="N139" s="26"/>
      <c r="O139" s="24"/>
      <c r="P139" s="24"/>
      <c r="Q139" s="26"/>
      <c r="R139" s="24"/>
    </row>
    <row r="140" spans="5:18" x14ac:dyDescent="0.25">
      <c r="E140" s="24"/>
      <c r="F140" s="24"/>
      <c r="G140" s="24"/>
      <c r="H140" s="24"/>
      <c r="L140" s="21"/>
      <c r="N140" s="26"/>
      <c r="O140" s="24"/>
      <c r="P140" s="24"/>
      <c r="Q140" s="26"/>
      <c r="R140" s="24"/>
    </row>
    <row r="141" spans="5:18" x14ac:dyDescent="0.25">
      <c r="E141" s="24"/>
      <c r="F141" s="24"/>
      <c r="G141" s="24"/>
      <c r="H141" s="24"/>
      <c r="L141" s="21"/>
      <c r="N141" s="26"/>
      <c r="O141" s="24"/>
      <c r="P141" s="24"/>
      <c r="Q141" s="26"/>
      <c r="R141" s="24"/>
    </row>
    <row r="142" spans="5:18" x14ac:dyDescent="0.25">
      <c r="E142" s="24"/>
      <c r="F142" s="24"/>
      <c r="G142" s="24"/>
      <c r="H142" s="24"/>
      <c r="L142" s="21"/>
      <c r="N142" s="26"/>
      <c r="O142" s="24"/>
      <c r="P142" s="24"/>
      <c r="Q142" s="26"/>
      <c r="R142" s="24"/>
    </row>
    <row r="143" spans="5:18" x14ac:dyDescent="0.25">
      <c r="E143" s="24"/>
      <c r="F143" s="24"/>
      <c r="G143" s="24"/>
      <c r="H143" s="24"/>
      <c r="L143" s="21"/>
      <c r="N143" s="26"/>
      <c r="O143" s="24"/>
      <c r="P143" s="24"/>
      <c r="Q143" s="26"/>
      <c r="R143" s="24"/>
    </row>
    <row r="144" spans="5:18" x14ac:dyDescent="0.25">
      <c r="E144" s="24"/>
      <c r="F144" s="24"/>
      <c r="G144" s="24"/>
      <c r="H144" s="24"/>
      <c r="L144" s="21"/>
      <c r="N144" s="26"/>
      <c r="O144" s="24"/>
      <c r="P144" s="24"/>
      <c r="Q144" s="26"/>
      <c r="R144" s="24"/>
    </row>
    <row r="145" spans="5:18" x14ac:dyDescent="0.25">
      <c r="E145" s="24"/>
      <c r="F145" s="24"/>
      <c r="G145" s="24"/>
      <c r="H145" s="24"/>
      <c r="L145" s="21"/>
      <c r="N145" s="26"/>
      <c r="O145" s="24"/>
      <c r="P145" s="24"/>
      <c r="Q145" s="26"/>
      <c r="R145" s="24"/>
    </row>
    <row r="146" spans="5:18" x14ac:dyDescent="0.25">
      <c r="E146" s="24"/>
      <c r="F146" s="24"/>
      <c r="G146" s="24"/>
      <c r="H146" s="24"/>
      <c r="L146" s="21"/>
      <c r="N146" s="26"/>
      <c r="O146" s="24"/>
      <c r="P146" s="24"/>
      <c r="Q146" s="26"/>
      <c r="R146" s="24"/>
    </row>
    <row r="147" spans="5:18" x14ac:dyDescent="0.25">
      <c r="E147" s="24"/>
      <c r="F147" s="24"/>
      <c r="G147" s="24"/>
      <c r="H147" s="24"/>
      <c r="L147" s="21"/>
      <c r="N147" s="26"/>
      <c r="O147" s="24"/>
      <c r="P147" s="24"/>
      <c r="Q147" s="26"/>
      <c r="R147" s="24"/>
    </row>
    <row r="148" spans="5:18" x14ac:dyDescent="0.25">
      <c r="E148" s="24"/>
      <c r="F148" s="24"/>
      <c r="G148" s="24"/>
      <c r="H148" s="24"/>
      <c r="L148" s="21"/>
      <c r="N148" s="26"/>
      <c r="O148" s="24"/>
      <c r="P148" s="24"/>
      <c r="Q148" s="26"/>
      <c r="R148" s="24"/>
    </row>
    <row r="149" spans="5:18" x14ac:dyDescent="0.25">
      <c r="E149" s="24"/>
      <c r="F149" s="24"/>
      <c r="G149" s="24"/>
      <c r="H149" s="24"/>
      <c r="L149" s="21"/>
      <c r="N149" s="26"/>
      <c r="O149" s="24"/>
      <c r="P149" s="24"/>
      <c r="Q149" s="26"/>
      <c r="R149" s="24"/>
    </row>
    <row r="150" spans="5:18" x14ac:dyDescent="0.25">
      <c r="E150" s="24"/>
      <c r="F150" s="24"/>
      <c r="G150" s="24"/>
      <c r="H150" s="24"/>
      <c r="L150" s="21"/>
      <c r="N150" s="26"/>
      <c r="O150" s="24"/>
      <c r="P150" s="24"/>
      <c r="Q150" s="26"/>
      <c r="R150" s="24"/>
    </row>
    <row r="151" spans="5:18" x14ac:dyDescent="0.25">
      <c r="E151" s="24"/>
      <c r="F151" s="24"/>
      <c r="G151" s="24"/>
      <c r="H151" s="24"/>
      <c r="L151" s="21"/>
      <c r="N151" s="26"/>
      <c r="O151" s="24"/>
      <c r="P151" s="24"/>
      <c r="Q151" s="26"/>
      <c r="R151" s="24"/>
    </row>
    <row r="152" spans="5:18" x14ac:dyDescent="0.25">
      <c r="E152" s="24"/>
      <c r="F152" s="24"/>
      <c r="G152" s="24"/>
      <c r="H152" s="24"/>
      <c r="L152" s="21"/>
      <c r="N152" s="26"/>
      <c r="O152" s="24"/>
      <c r="P152" s="24"/>
      <c r="Q152" s="26"/>
      <c r="R152" s="24"/>
    </row>
    <row r="153" spans="5:18" x14ac:dyDescent="0.25">
      <c r="E153" s="24"/>
      <c r="F153" s="24"/>
      <c r="G153" s="24"/>
      <c r="H153" s="24"/>
      <c r="L153" s="21"/>
      <c r="N153" s="26"/>
      <c r="O153" s="24"/>
      <c r="P153" s="24"/>
      <c r="Q153" s="26"/>
      <c r="R153" s="24"/>
    </row>
    <row r="154" spans="5:18" x14ac:dyDescent="0.25">
      <c r="E154" s="24"/>
      <c r="F154" s="24"/>
      <c r="G154" s="24"/>
      <c r="H154" s="24"/>
      <c r="L154" s="21"/>
      <c r="N154" s="26"/>
      <c r="O154" s="24"/>
      <c r="P154" s="24"/>
      <c r="Q154" s="26"/>
      <c r="R154" s="24"/>
    </row>
    <row r="155" spans="5:18" x14ac:dyDescent="0.25">
      <c r="E155" s="24"/>
      <c r="F155" s="24"/>
      <c r="G155" s="24"/>
      <c r="H155" s="24"/>
      <c r="L155" s="21"/>
      <c r="N155" s="26"/>
      <c r="O155" s="24"/>
      <c r="P155" s="24"/>
      <c r="Q155" s="26"/>
      <c r="R155" s="24"/>
    </row>
    <row r="156" spans="5:18" x14ac:dyDescent="0.25">
      <c r="E156" s="24"/>
      <c r="F156" s="24"/>
      <c r="G156" s="24"/>
      <c r="H156" s="24"/>
      <c r="L156" s="21"/>
      <c r="N156" s="26"/>
      <c r="O156" s="24"/>
      <c r="P156" s="24"/>
      <c r="Q156" s="26"/>
      <c r="R156" s="24"/>
    </row>
    <row r="157" spans="5:18" x14ac:dyDescent="0.25">
      <c r="E157" s="24"/>
      <c r="F157" s="24"/>
      <c r="G157" s="24"/>
      <c r="H157" s="24"/>
      <c r="L157" s="21"/>
      <c r="N157" s="26"/>
      <c r="O157" s="24"/>
      <c r="P157" s="24"/>
      <c r="Q157" s="26"/>
      <c r="R157" s="24"/>
    </row>
    <row r="158" spans="5:18" x14ac:dyDescent="0.25">
      <c r="E158" s="24"/>
      <c r="F158" s="24"/>
      <c r="G158" s="24"/>
      <c r="H158" s="24"/>
      <c r="L158" s="21"/>
      <c r="N158" s="26"/>
      <c r="O158" s="24"/>
      <c r="P158" s="24"/>
      <c r="Q158" s="26"/>
      <c r="R158" s="24"/>
    </row>
    <row r="159" spans="5:18" x14ac:dyDescent="0.25">
      <c r="E159" s="24"/>
      <c r="F159" s="24"/>
      <c r="G159" s="24"/>
      <c r="H159" s="24"/>
      <c r="L159" s="21"/>
      <c r="N159" s="26"/>
      <c r="O159" s="24"/>
      <c r="P159" s="24"/>
      <c r="Q159" s="26"/>
      <c r="R159" s="24"/>
    </row>
    <row r="160" spans="5:18" x14ac:dyDescent="0.25">
      <c r="E160" s="24"/>
      <c r="F160" s="24"/>
      <c r="G160" s="24"/>
      <c r="H160" s="24"/>
      <c r="L160" s="21"/>
      <c r="N160" s="26"/>
      <c r="O160" s="24"/>
      <c r="P160" s="24"/>
      <c r="Q160" s="26"/>
      <c r="R160" s="24"/>
    </row>
    <row r="161" spans="5:18" x14ac:dyDescent="0.25">
      <c r="E161" s="24"/>
      <c r="F161" s="24"/>
      <c r="G161" s="24"/>
      <c r="H161" s="24"/>
      <c r="L161" s="21"/>
      <c r="N161" s="26"/>
      <c r="O161" s="24"/>
      <c r="P161" s="24"/>
      <c r="Q161" s="26"/>
      <c r="R161" s="24"/>
    </row>
    <row r="162" spans="5:18" x14ac:dyDescent="0.25">
      <c r="E162" s="24"/>
      <c r="F162" s="24"/>
      <c r="G162" s="24"/>
      <c r="H162" s="24"/>
      <c r="L162" s="21"/>
      <c r="N162" s="26"/>
      <c r="O162" s="24"/>
      <c r="P162" s="24"/>
      <c r="Q162" s="26"/>
      <c r="R162" s="24"/>
    </row>
    <row r="163" spans="5:18" x14ac:dyDescent="0.25">
      <c r="E163" s="24"/>
      <c r="F163" s="24"/>
      <c r="G163" s="24"/>
      <c r="H163" s="24"/>
      <c r="L163" s="21"/>
      <c r="N163" s="26"/>
      <c r="O163" s="24"/>
      <c r="P163" s="24"/>
      <c r="Q163" s="26"/>
      <c r="R163" s="24"/>
    </row>
    <row r="164" spans="5:18" x14ac:dyDescent="0.25">
      <c r="E164" s="24"/>
      <c r="F164" s="24"/>
      <c r="G164" s="24"/>
      <c r="H164" s="24"/>
      <c r="L164" s="21"/>
      <c r="N164" s="26"/>
      <c r="O164" s="24"/>
      <c r="P164" s="24"/>
      <c r="Q164" s="26"/>
      <c r="R164" s="24"/>
    </row>
    <row r="165" spans="5:18" x14ac:dyDescent="0.25">
      <c r="E165" s="24"/>
      <c r="F165" s="24"/>
      <c r="G165" s="24"/>
      <c r="H165" s="24"/>
      <c r="L165" s="21"/>
      <c r="N165" s="26"/>
      <c r="O165" s="24"/>
      <c r="P165" s="24"/>
      <c r="Q165" s="26"/>
      <c r="R165" s="24"/>
    </row>
    <row r="166" spans="5:18" x14ac:dyDescent="0.25">
      <c r="E166" s="24"/>
      <c r="F166" s="24"/>
      <c r="G166" s="24"/>
      <c r="H166" s="24"/>
      <c r="L166" s="21"/>
      <c r="N166" s="26"/>
      <c r="O166" s="24"/>
      <c r="P166" s="24"/>
      <c r="Q166" s="26"/>
      <c r="R166" s="24"/>
    </row>
    <row r="167" spans="5:18" x14ac:dyDescent="0.25">
      <c r="E167" s="24"/>
      <c r="F167" s="24"/>
      <c r="G167" s="24"/>
      <c r="H167" s="24"/>
      <c r="L167" s="21"/>
      <c r="N167" s="26"/>
      <c r="O167" s="24"/>
      <c r="P167" s="24"/>
      <c r="Q167" s="26"/>
      <c r="R167" s="24"/>
    </row>
    <row r="168" spans="5:18" x14ac:dyDescent="0.25">
      <c r="E168" s="24"/>
      <c r="F168" s="24"/>
      <c r="G168" s="24"/>
      <c r="H168" s="24"/>
      <c r="L168" s="21"/>
      <c r="N168" s="26"/>
      <c r="O168" s="24"/>
      <c r="P168" s="24"/>
      <c r="Q168" s="26"/>
      <c r="R168" s="24"/>
    </row>
    <row r="169" spans="5:18" x14ac:dyDescent="0.25">
      <c r="E169" s="24"/>
      <c r="F169" s="24"/>
      <c r="G169" s="24"/>
      <c r="H169" s="24"/>
      <c r="L169" s="21"/>
      <c r="N169" s="26"/>
      <c r="O169" s="24"/>
      <c r="P169" s="24"/>
      <c r="Q169" s="26"/>
      <c r="R169" s="24"/>
    </row>
    <row r="170" spans="5:18" x14ac:dyDescent="0.25">
      <c r="E170" s="24"/>
      <c r="F170" s="24"/>
      <c r="G170" s="24"/>
      <c r="H170" s="24"/>
      <c r="L170" s="21"/>
      <c r="N170" s="26"/>
      <c r="O170" s="24"/>
      <c r="P170" s="24"/>
      <c r="Q170" s="26"/>
      <c r="R170" s="24"/>
    </row>
    <row r="171" spans="5:18" x14ac:dyDescent="0.25">
      <c r="E171" s="24"/>
      <c r="F171" s="24"/>
      <c r="G171" s="24"/>
      <c r="H171" s="24"/>
      <c r="L171" s="21"/>
      <c r="N171" s="26"/>
      <c r="O171" s="24"/>
      <c r="P171" s="24"/>
      <c r="Q171" s="26"/>
      <c r="R171" s="24"/>
    </row>
    <row r="172" spans="5:18" x14ac:dyDescent="0.25">
      <c r="E172" s="24"/>
      <c r="F172" s="24"/>
      <c r="G172" s="24"/>
      <c r="H172" s="24"/>
      <c r="L172" s="21"/>
      <c r="N172" s="26"/>
      <c r="O172" s="24"/>
      <c r="P172" s="24"/>
      <c r="Q172" s="26"/>
      <c r="R172" s="24"/>
    </row>
    <row r="173" spans="5:18" x14ac:dyDescent="0.25">
      <c r="E173" s="24"/>
      <c r="F173" s="24"/>
      <c r="G173" s="24"/>
      <c r="H173" s="24"/>
      <c r="L173" s="21"/>
      <c r="N173" s="26"/>
      <c r="O173" s="24"/>
      <c r="P173" s="24"/>
      <c r="Q173" s="26"/>
      <c r="R173" s="24"/>
    </row>
    <row r="174" spans="5:18" x14ac:dyDescent="0.25">
      <c r="E174" s="24"/>
      <c r="F174" s="24"/>
      <c r="G174" s="24"/>
      <c r="H174" s="24"/>
      <c r="L174" s="21"/>
      <c r="N174" s="26"/>
      <c r="O174" s="24"/>
      <c r="P174" s="24"/>
      <c r="Q174" s="26"/>
      <c r="R174" s="24"/>
    </row>
    <row r="175" spans="5:18" x14ac:dyDescent="0.25">
      <c r="E175" s="24"/>
      <c r="F175" s="24"/>
      <c r="G175" s="24"/>
      <c r="H175" s="24"/>
      <c r="L175" s="21"/>
      <c r="N175" s="26"/>
      <c r="O175" s="24"/>
      <c r="P175" s="24"/>
      <c r="Q175" s="26"/>
      <c r="R175" s="24"/>
    </row>
    <row r="176" spans="5:18" x14ac:dyDescent="0.25">
      <c r="E176" s="24"/>
      <c r="F176" s="24"/>
      <c r="G176" s="24"/>
      <c r="H176" s="24"/>
      <c r="L176" s="21"/>
      <c r="N176" s="26"/>
      <c r="O176" s="24"/>
      <c r="P176" s="24"/>
      <c r="Q176" s="26"/>
      <c r="R176" s="24"/>
    </row>
    <row r="177" spans="5:18" x14ac:dyDescent="0.25">
      <c r="E177" s="24"/>
      <c r="F177" s="24"/>
      <c r="G177" s="24"/>
      <c r="H177" s="24"/>
      <c r="L177" s="21"/>
      <c r="N177" s="26"/>
      <c r="O177" s="24"/>
      <c r="P177" s="24"/>
      <c r="Q177" s="26"/>
      <c r="R177" s="24"/>
    </row>
    <row r="178" spans="5:18" x14ac:dyDescent="0.25">
      <c r="E178" s="24"/>
      <c r="F178" s="24"/>
      <c r="G178" s="24"/>
      <c r="H178" s="24"/>
      <c r="L178" s="21"/>
      <c r="N178" s="26"/>
      <c r="O178" s="24"/>
      <c r="P178" s="24"/>
      <c r="Q178" s="26"/>
      <c r="R178" s="24"/>
    </row>
    <row r="179" spans="5:18" x14ac:dyDescent="0.25">
      <c r="E179" s="24"/>
      <c r="F179" s="24"/>
      <c r="G179" s="24"/>
      <c r="H179" s="24"/>
      <c r="L179" s="21"/>
      <c r="N179" s="26"/>
      <c r="O179" s="24"/>
      <c r="P179" s="24"/>
      <c r="Q179" s="26"/>
      <c r="R179" s="24"/>
    </row>
    <row r="180" spans="5:18" x14ac:dyDescent="0.25">
      <c r="E180" s="24"/>
      <c r="F180" s="24"/>
      <c r="G180" s="24"/>
      <c r="H180" s="24"/>
      <c r="L180" s="21"/>
      <c r="N180" s="26"/>
      <c r="O180" s="24"/>
      <c r="P180" s="24"/>
      <c r="Q180" s="26"/>
      <c r="R180" s="24"/>
    </row>
    <row r="181" spans="5:18" x14ac:dyDescent="0.25">
      <c r="E181" s="24"/>
      <c r="F181" s="24"/>
      <c r="G181" s="24"/>
      <c r="H181" s="24"/>
      <c r="L181" s="21"/>
      <c r="N181" s="26"/>
      <c r="O181" s="24"/>
      <c r="P181" s="24"/>
      <c r="Q181" s="26"/>
      <c r="R181" s="24"/>
    </row>
    <row r="182" spans="5:18" x14ac:dyDescent="0.25">
      <c r="E182" s="24"/>
      <c r="F182" s="24"/>
      <c r="G182" s="24"/>
      <c r="H182" s="24"/>
      <c r="L182" s="21"/>
      <c r="N182" s="26"/>
      <c r="O182" s="24"/>
      <c r="P182" s="24"/>
      <c r="Q182" s="26"/>
      <c r="R182" s="24"/>
    </row>
    <row r="183" spans="5:18" x14ac:dyDescent="0.25">
      <c r="E183" s="24"/>
      <c r="F183" s="24"/>
      <c r="G183" s="24"/>
      <c r="H183" s="24"/>
      <c r="L183" s="21"/>
      <c r="N183" s="26"/>
      <c r="O183" s="24"/>
      <c r="P183" s="24"/>
      <c r="Q183" s="26"/>
      <c r="R183" s="24"/>
    </row>
    <row r="184" spans="5:18" x14ac:dyDescent="0.25">
      <c r="E184" s="24"/>
      <c r="F184" s="24"/>
      <c r="G184" s="24"/>
      <c r="H184" s="24"/>
      <c r="L184" s="21"/>
      <c r="N184" s="26"/>
      <c r="O184" s="24"/>
      <c r="P184" s="24"/>
      <c r="Q184" s="26"/>
      <c r="R184" s="24"/>
    </row>
    <row r="185" spans="5:18" x14ac:dyDescent="0.25">
      <c r="E185" s="24"/>
      <c r="F185" s="24"/>
      <c r="G185" s="24"/>
      <c r="H185" s="24"/>
      <c r="L185" s="21"/>
      <c r="N185" s="26"/>
      <c r="O185" s="24"/>
      <c r="P185" s="24"/>
      <c r="Q185" s="26"/>
      <c r="R185" s="24"/>
    </row>
    <row r="186" spans="5:18" x14ac:dyDescent="0.25">
      <c r="E186" s="24"/>
      <c r="F186" s="24"/>
      <c r="G186" s="24"/>
      <c r="H186" s="24"/>
      <c r="L186" s="21"/>
      <c r="N186" s="26"/>
      <c r="O186" s="24"/>
      <c r="P186" s="24"/>
      <c r="Q186" s="26"/>
      <c r="R186" s="24"/>
    </row>
    <row r="187" spans="5:18" x14ac:dyDescent="0.25">
      <c r="E187" s="24"/>
      <c r="F187" s="24"/>
      <c r="G187" s="24"/>
      <c r="H187" s="24"/>
      <c r="L187" s="21"/>
      <c r="N187" s="26"/>
      <c r="O187" s="24"/>
      <c r="P187" s="24"/>
      <c r="Q187" s="26"/>
      <c r="R187" s="24"/>
    </row>
    <row r="188" spans="5:18" x14ac:dyDescent="0.25">
      <c r="E188" s="24"/>
      <c r="F188" s="24"/>
      <c r="G188" s="24"/>
      <c r="H188" s="24"/>
      <c r="L188" s="21"/>
      <c r="N188" s="26"/>
      <c r="O188" s="24"/>
      <c r="P188" s="24"/>
      <c r="Q188" s="26"/>
      <c r="R188" s="24"/>
    </row>
    <row r="189" spans="5:18" x14ac:dyDescent="0.25">
      <c r="E189" s="24"/>
      <c r="F189" s="24"/>
      <c r="G189" s="24"/>
      <c r="H189" s="24"/>
      <c r="L189" s="21"/>
      <c r="N189" s="26"/>
      <c r="O189" s="24"/>
      <c r="P189" s="24"/>
      <c r="Q189" s="26"/>
      <c r="R189" s="24"/>
    </row>
    <row r="190" spans="5:18" x14ac:dyDescent="0.25">
      <c r="E190" s="24"/>
      <c r="F190" s="24"/>
      <c r="G190" s="24"/>
      <c r="H190" s="24"/>
      <c r="L190" s="21"/>
      <c r="N190" s="26"/>
      <c r="O190" s="24"/>
      <c r="P190" s="24"/>
      <c r="Q190" s="26"/>
      <c r="R190" s="24"/>
    </row>
    <row r="191" spans="5:18" x14ac:dyDescent="0.25">
      <c r="E191" s="24"/>
      <c r="F191" s="24"/>
      <c r="G191" s="24"/>
      <c r="H191" s="24"/>
      <c r="L191" s="21"/>
      <c r="N191" s="26"/>
      <c r="O191" s="24"/>
      <c r="P191" s="24"/>
      <c r="Q191" s="26"/>
      <c r="R191" s="24"/>
    </row>
    <row r="192" spans="5:18" x14ac:dyDescent="0.25">
      <c r="E192" s="24"/>
      <c r="F192" s="24"/>
      <c r="G192" s="24"/>
      <c r="H192" s="24"/>
      <c r="L192" s="21"/>
      <c r="N192" s="26"/>
      <c r="O192" s="24"/>
      <c r="P192" s="24"/>
      <c r="Q192" s="26"/>
      <c r="R192" s="24"/>
    </row>
    <row r="193" spans="5:18" x14ac:dyDescent="0.25">
      <c r="E193" s="24"/>
      <c r="F193" s="24"/>
      <c r="G193" s="24"/>
      <c r="H193" s="24"/>
      <c r="L193" s="21"/>
      <c r="N193" s="26"/>
      <c r="O193" s="24"/>
      <c r="P193" s="24"/>
      <c r="Q193" s="26"/>
      <c r="R193" s="24"/>
    </row>
    <row r="194" spans="5:18" x14ac:dyDescent="0.25">
      <c r="E194" s="24"/>
      <c r="F194" s="24"/>
      <c r="G194" s="24"/>
      <c r="H194" s="24"/>
      <c r="L194" s="21"/>
      <c r="N194" s="26"/>
      <c r="O194" s="24"/>
      <c r="P194" s="24"/>
      <c r="Q194" s="26"/>
      <c r="R194" s="24"/>
    </row>
    <row r="195" spans="5:18" x14ac:dyDescent="0.25">
      <c r="E195" s="24"/>
      <c r="F195" s="24"/>
      <c r="G195" s="24"/>
      <c r="H195" s="24"/>
      <c r="L195" s="21"/>
      <c r="N195" s="26"/>
      <c r="O195" s="24"/>
      <c r="P195" s="24"/>
      <c r="Q195" s="26"/>
      <c r="R195" s="24"/>
    </row>
    <row r="196" spans="5:18" x14ac:dyDescent="0.25">
      <c r="E196" s="24"/>
      <c r="F196" s="24"/>
      <c r="G196" s="24"/>
      <c r="H196" s="24"/>
      <c r="L196" s="21"/>
      <c r="N196" s="26"/>
      <c r="O196" s="24"/>
      <c r="P196" s="24"/>
      <c r="Q196" s="26"/>
      <c r="R196" s="24"/>
    </row>
    <row r="197" spans="5:18" x14ac:dyDescent="0.25">
      <c r="E197" s="24"/>
      <c r="F197" s="24"/>
      <c r="G197" s="24"/>
      <c r="H197" s="24"/>
      <c r="L197" s="21"/>
      <c r="N197" s="26"/>
      <c r="O197" s="24"/>
      <c r="P197" s="24"/>
      <c r="Q197" s="26"/>
      <c r="R197" s="24"/>
    </row>
    <row r="198" spans="5:18" x14ac:dyDescent="0.25">
      <c r="E198" s="24"/>
      <c r="F198" s="24"/>
      <c r="G198" s="24"/>
      <c r="H198" s="24"/>
      <c r="L198" s="21"/>
      <c r="N198" s="26"/>
      <c r="O198" s="24"/>
      <c r="P198" s="24"/>
      <c r="Q198" s="26"/>
      <c r="R198" s="24"/>
    </row>
    <row r="199" spans="5:18" x14ac:dyDescent="0.25">
      <c r="E199" s="24"/>
      <c r="F199" s="24"/>
      <c r="G199" s="24"/>
      <c r="H199" s="24"/>
      <c r="L199" s="21"/>
      <c r="N199" s="26"/>
      <c r="O199" s="24"/>
      <c r="P199" s="24"/>
      <c r="Q199" s="26"/>
      <c r="R199" s="24"/>
    </row>
    <row r="200" spans="5:18" x14ac:dyDescent="0.25">
      <c r="E200" s="24"/>
      <c r="F200" s="24"/>
      <c r="G200" s="24"/>
      <c r="H200" s="24"/>
      <c r="L200" s="21"/>
      <c r="N200" s="26"/>
      <c r="O200" s="24"/>
      <c r="P200" s="24"/>
      <c r="Q200" s="26"/>
      <c r="R200" s="24"/>
    </row>
    <row r="201" spans="5:18" x14ac:dyDescent="0.25">
      <c r="E201" s="24"/>
      <c r="F201" s="24"/>
      <c r="G201" s="24"/>
      <c r="H201" s="24"/>
      <c r="L201" s="21"/>
      <c r="N201" s="26"/>
      <c r="O201" s="24"/>
      <c r="P201" s="24"/>
      <c r="Q201" s="26"/>
      <c r="R201" s="24"/>
    </row>
    <row r="202" spans="5:18" x14ac:dyDescent="0.25">
      <c r="E202" s="24"/>
      <c r="F202" s="24"/>
      <c r="G202" s="24"/>
      <c r="H202" s="24"/>
      <c r="L202" s="21"/>
      <c r="N202" s="26"/>
      <c r="O202" s="24"/>
      <c r="P202" s="24"/>
      <c r="Q202" s="26"/>
      <c r="R202" s="24"/>
    </row>
    <row r="203" spans="5:18" x14ac:dyDescent="0.25">
      <c r="E203" s="24"/>
      <c r="F203" s="24"/>
      <c r="G203" s="24"/>
      <c r="H203" s="24"/>
      <c r="L203" s="21"/>
      <c r="N203" s="26"/>
      <c r="O203" s="24"/>
      <c r="P203" s="24"/>
      <c r="Q203" s="26"/>
      <c r="R203" s="24"/>
    </row>
    <row r="204" spans="5:18" x14ac:dyDescent="0.25">
      <c r="E204" s="24"/>
      <c r="F204" s="24"/>
      <c r="G204" s="24"/>
      <c r="H204" s="24"/>
      <c r="L204" s="21"/>
      <c r="N204" s="26"/>
      <c r="O204" s="24"/>
      <c r="P204" s="24"/>
      <c r="Q204" s="26"/>
      <c r="R204" s="24"/>
    </row>
    <row r="205" spans="5:18" x14ac:dyDescent="0.25">
      <c r="E205" s="24"/>
      <c r="F205" s="24"/>
      <c r="G205" s="24"/>
      <c r="H205" s="24"/>
      <c r="L205" s="21"/>
      <c r="N205" s="26"/>
      <c r="O205" s="24"/>
      <c r="P205" s="24"/>
      <c r="Q205" s="26"/>
      <c r="R205" s="24"/>
    </row>
    <row r="206" spans="5:18" x14ac:dyDescent="0.25">
      <c r="E206" s="24"/>
      <c r="F206" s="24"/>
      <c r="G206" s="24"/>
      <c r="H206" s="24"/>
      <c r="L206" s="21"/>
      <c r="N206" s="26"/>
      <c r="O206" s="24"/>
      <c r="P206" s="24"/>
      <c r="Q206" s="26"/>
      <c r="R206" s="24"/>
    </row>
    <row r="207" spans="5:18" x14ac:dyDescent="0.25">
      <c r="E207" s="24"/>
      <c r="F207" s="24"/>
      <c r="G207" s="24"/>
      <c r="H207" s="24"/>
      <c r="L207" s="21"/>
      <c r="N207" s="26"/>
      <c r="O207" s="24"/>
      <c r="P207" s="24"/>
      <c r="Q207" s="26"/>
      <c r="R207" s="24"/>
    </row>
    <row r="208" spans="5:18" x14ac:dyDescent="0.25">
      <c r="E208" s="24"/>
      <c r="F208" s="24"/>
      <c r="G208" s="24"/>
      <c r="H208" s="24"/>
      <c r="L208" s="21"/>
      <c r="N208" s="26"/>
      <c r="O208" s="24"/>
      <c r="P208" s="24"/>
      <c r="Q208" s="26"/>
      <c r="R208" s="24"/>
    </row>
    <row r="209" spans="5:18" x14ac:dyDescent="0.25">
      <c r="E209" s="24"/>
      <c r="F209" s="24"/>
      <c r="G209" s="24"/>
      <c r="H209" s="24"/>
      <c r="L209" s="21"/>
      <c r="N209" s="26"/>
      <c r="O209" s="24"/>
      <c r="P209" s="24"/>
      <c r="Q209" s="26"/>
      <c r="R209" s="24"/>
    </row>
    <row r="210" spans="5:18" x14ac:dyDescent="0.25">
      <c r="E210" s="24"/>
      <c r="F210" s="24"/>
      <c r="G210" s="24"/>
      <c r="H210" s="24"/>
      <c r="L210" s="21"/>
      <c r="N210" s="26"/>
      <c r="O210" s="24"/>
      <c r="P210" s="24"/>
      <c r="Q210" s="26"/>
      <c r="R210" s="24"/>
    </row>
    <row r="211" spans="5:18" x14ac:dyDescent="0.25">
      <c r="E211" s="24"/>
      <c r="F211" s="24"/>
      <c r="G211" s="24"/>
      <c r="H211" s="24"/>
      <c r="L211" s="21"/>
      <c r="N211" s="26"/>
      <c r="O211" s="24"/>
      <c r="P211" s="24"/>
      <c r="Q211" s="26"/>
      <c r="R211" s="24"/>
    </row>
    <row r="212" spans="5:18" x14ac:dyDescent="0.25">
      <c r="E212" s="24"/>
      <c r="F212" s="24"/>
      <c r="G212" s="24"/>
      <c r="H212" s="24"/>
      <c r="L212" s="21"/>
      <c r="N212" s="26"/>
      <c r="O212" s="24"/>
      <c r="P212" s="24"/>
      <c r="Q212" s="26"/>
      <c r="R212" s="24"/>
    </row>
    <row r="213" spans="5:18" x14ac:dyDescent="0.25">
      <c r="E213" s="24"/>
      <c r="F213" s="24"/>
      <c r="G213" s="24"/>
      <c r="H213" s="24"/>
      <c r="L213" s="21"/>
      <c r="N213" s="26"/>
      <c r="O213" s="24"/>
      <c r="P213" s="24"/>
      <c r="Q213" s="26"/>
      <c r="R213" s="24"/>
    </row>
    <row r="214" spans="5:18" x14ac:dyDescent="0.25">
      <c r="E214" s="24"/>
      <c r="F214" s="24"/>
      <c r="G214" s="24"/>
      <c r="H214" s="24"/>
      <c r="L214" s="21"/>
      <c r="N214" s="26"/>
      <c r="O214" s="24"/>
      <c r="P214" s="24"/>
      <c r="Q214" s="26"/>
      <c r="R214" s="24"/>
    </row>
    <row r="215" spans="5:18" x14ac:dyDescent="0.25">
      <c r="E215" s="24"/>
      <c r="F215" s="24"/>
      <c r="G215" s="24"/>
      <c r="H215" s="24"/>
      <c r="L215" s="21"/>
      <c r="N215" s="26"/>
      <c r="O215" s="24"/>
      <c r="P215" s="24"/>
      <c r="Q215" s="26"/>
      <c r="R215" s="24"/>
    </row>
    <row r="216" spans="5:18" x14ac:dyDescent="0.25">
      <c r="E216" s="24"/>
      <c r="F216" s="24"/>
      <c r="G216" s="24"/>
      <c r="H216" s="24"/>
      <c r="L216" s="21"/>
      <c r="N216" s="26"/>
      <c r="O216" s="24"/>
      <c r="P216" s="24"/>
      <c r="Q216" s="26"/>
      <c r="R216" s="24"/>
    </row>
    <row r="217" spans="5:18" x14ac:dyDescent="0.25">
      <c r="E217" s="24"/>
      <c r="F217" s="24"/>
      <c r="G217" s="24"/>
      <c r="H217" s="24"/>
      <c r="L217" s="21"/>
      <c r="N217" s="26"/>
      <c r="O217" s="24"/>
      <c r="P217" s="24"/>
      <c r="Q217" s="26"/>
      <c r="R217" s="24"/>
    </row>
    <row r="218" spans="5:18" x14ac:dyDescent="0.25">
      <c r="E218" s="24"/>
      <c r="F218" s="24"/>
      <c r="G218" s="24"/>
      <c r="H218" s="24"/>
      <c r="L218" s="21"/>
      <c r="N218" s="26"/>
      <c r="O218" s="24"/>
      <c r="P218" s="24"/>
      <c r="Q218" s="26"/>
      <c r="R218" s="24"/>
    </row>
    <row r="219" spans="5:18" x14ac:dyDescent="0.25">
      <c r="E219" s="24"/>
      <c r="F219" s="24"/>
      <c r="G219" s="24"/>
      <c r="H219" s="24"/>
      <c r="L219" s="21"/>
      <c r="N219" s="26"/>
      <c r="O219" s="24"/>
      <c r="P219" s="24"/>
      <c r="Q219" s="26"/>
      <c r="R219" s="24"/>
    </row>
    <row r="220" spans="5:18" x14ac:dyDescent="0.25">
      <c r="E220" s="24"/>
      <c r="F220" s="24"/>
      <c r="G220" s="24"/>
      <c r="H220" s="24"/>
      <c r="L220" s="21"/>
      <c r="N220" s="26"/>
      <c r="O220" s="24"/>
      <c r="P220" s="24"/>
      <c r="Q220" s="26"/>
      <c r="R220" s="24"/>
    </row>
    <row r="221" spans="5:18" x14ac:dyDescent="0.25">
      <c r="E221" s="24"/>
      <c r="F221" s="24"/>
      <c r="G221" s="24"/>
      <c r="H221" s="24"/>
      <c r="L221" s="21"/>
      <c r="N221" s="26"/>
      <c r="O221" s="24"/>
      <c r="P221" s="24"/>
      <c r="Q221" s="26"/>
      <c r="R221" s="24"/>
    </row>
    <row r="222" spans="5:18" x14ac:dyDescent="0.25">
      <c r="E222" s="24"/>
      <c r="F222" s="24"/>
      <c r="G222" s="24"/>
      <c r="H222" s="24"/>
      <c r="L222" s="21"/>
      <c r="N222" s="26"/>
      <c r="O222" s="24"/>
      <c r="P222" s="24"/>
      <c r="Q222" s="26"/>
      <c r="R222" s="24"/>
    </row>
    <row r="223" spans="5:18" x14ac:dyDescent="0.25">
      <c r="E223" s="24"/>
      <c r="F223" s="24"/>
      <c r="G223" s="24"/>
      <c r="H223" s="24"/>
      <c r="L223" s="21"/>
      <c r="N223" s="26"/>
      <c r="O223" s="24"/>
      <c r="P223" s="24"/>
      <c r="Q223" s="26"/>
      <c r="R223" s="24"/>
    </row>
    <row r="224" spans="5:18" x14ac:dyDescent="0.25">
      <c r="E224" s="24"/>
      <c r="F224" s="24"/>
      <c r="G224" s="24"/>
      <c r="H224" s="24"/>
      <c r="L224" s="21"/>
      <c r="N224" s="26"/>
      <c r="O224" s="24"/>
      <c r="P224" s="24"/>
      <c r="Q224" s="26"/>
      <c r="R224" s="24"/>
    </row>
    <row r="225" spans="5:18" x14ac:dyDescent="0.25">
      <c r="E225" s="24"/>
      <c r="F225" s="24"/>
      <c r="G225" s="24"/>
      <c r="H225" s="24"/>
      <c r="L225" s="21"/>
      <c r="N225" s="26"/>
      <c r="O225" s="24"/>
      <c r="P225" s="24"/>
      <c r="Q225" s="26"/>
      <c r="R225" s="24"/>
    </row>
    <row r="226" spans="5:18" x14ac:dyDescent="0.25">
      <c r="E226" s="24"/>
      <c r="F226" s="24"/>
      <c r="G226" s="24"/>
      <c r="H226" s="24"/>
      <c r="L226" s="21"/>
      <c r="N226" s="26"/>
      <c r="O226" s="24"/>
      <c r="P226" s="24"/>
      <c r="Q226" s="26"/>
      <c r="R226" s="24"/>
    </row>
    <row r="227" spans="5:18" x14ac:dyDescent="0.25">
      <c r="E227" s="24"/>
      <c r="F227" s="24"/>
      <c r="G227" s="24"/>
      <c r="H227" s="24"/>
      <c r="L227" s="21"/>
      <c r="N227" s="26"/>
      <c r="O227" s="24"/>
      <c r="P227" s="24"/>
      <c r="Q227" s="26"/>
      <c r="R227" s="24"/>
    </row>
    <row r="228" spans="5:18" x14ac:dyDescent="0.25">
      <c r="E228" s="24"/>
      <c r="F228" s="24"/>
      <c r="G228" s="24"/>
      <c r="H228" s="24"/>
      <c r="L228" s="21"/>
      <c r="N228" s="26"/>
      <c r="O228" s="24"/>
      <c r="P228" s="24"/>
      <c r="Q228" s="26"/>
      <c r="R228" s="24"/>
    </row>
    <row r="229" spans="5:18" x14ac:dyDescent="0.25">
      <c r="E229" s="24"/>
      <c r="F229" s="24"/>
      <c r="G229" s="24"/>
      <c r="H229" s="24"/>
      <c r="L229" s="21"/>
      <c r="N229" s="26"/>
      <c r="O229" s="24"/>
      <c r="P229" s="24"/>
      <c r="Q229" s="26"/>
      <c r="R229" s="24"/>
    </row>
    <row r="230" spans="5:18" x14ac:dyDescent="0.25">
      <c r="E230" s="24"/>
      <c r="F230" s="24"/>
      <c r="G230" s="24"/>
      <c r="H230" s="24"/>
      <c r="L230" s="21"/>
      <c r="N230" s="26"/>
      <c r="O230" s="24"/>
      <c r="P230" s="24"/>
      <c r="Q230" s="26"/>
      <c r="R230" s="24"/>
    </row>
    <row r="231" spans="5:18" x14ac:dyDescent="0.25">
      <c r="E231" s="24"/>
      <c r="F231" s="24"/>
      <c r="G231" s="24"/>
      <c r="H231" s="24"/>
      <c r="L231" s="21"/>
      <c r="N231" s="26"/>
      <c r="O231" s="24"/>
      <c r="P231" s="24"/>
      <c r="Q231" s="26"/>
      <c r="R231" s="24"/>
    </row>
    <row r="232" spans="5:18" x14ac:dyDescent="0.25">
      <c r="E232" s="24"/>
      <c r="F232" s="24"/>
      <c r="G232" s="24"/>
      <c r="H232" s="24"/>
      <c r="L232" s="21"/>
      <c r="N232" s="26"/>
      <c r="O232" s="24"/>
      <c r="P232" s="24"/>
      <c r="Q232" s="26"/>
      <c r="R232" s="24"/>
    </row>
    <row r="233" spans="5:18" x14ac:dyDescent="0.25">
      <c r="E233" s="24"/>
      <c r="F233" s="24"/>
      <c r="G233" s="24"/>
      <c r="H233" s="24"/>
      <c r="L233" s="21"/>
      <c r="N233" s="26"/>
      <c r="O233" s="24"/>
      <c r="P233" s="24"/>
      <c r="Q233" s="26"/>
      <c r="R233" s="24"/>
    </row>
    <row r="234" spans="5:18" x14ac:dyDescent="0.25">
      <c r="E234" s="24"/>
      <c r="F234" s="24"/>
      <c r="G234" s="24"/>
      <c r="H234" s="24"/>
      <c r="L234" s="21"/>
      <c r="N234" s="26"/>
      <c r="O234" s="24"/>
      <c r="P234" s="24"/>
      <c r="Q234" s="26"/>
      <c r="R234" s="24"/>
    </row>
    <row r="235" spans="5:18" x14ac:dyDescent="0.25">
      <c r="E235" s="24"/>
      <c r="F235" s="24"/>
      <c r="G235" s="24"/>
      <c r="H235" s="24"/>
      <c r="L235" s="21"/>
      <c r="N235" s="26"/>
      <c r="O235" s="24"/>
      <c r="P235" s="24"/>
      <c r="Q235" s="26"/>
      <c r="R235" s="24"/>
    </row>
    <row r="236" spans="5:18" x14ac:dyDescent="0.25">
      <c r="E236" s="24"/>
      <c r="F236" s="24"/>
      <c r="G236" s="24"/>
      <c r="H236" s="24"/>
      <c r="L236" s="21"/>
      <c r="N236" s="26"/>
      <c r="O236" s="24"/>
      <c r="P236" s="24"/>
      <c r="Q236" s="26"/>
      <c r="R236" s="24"/>
    </row>
    <row r="237" spans="5:18" x14ac:dyDescent="0.25">
      <c r="E237" s="24"/>
      <c r="F237" s="24"/>
      <c r="G237" s="24"/>
      <c r="H237" s="24"/>
      <c r="L237" s="21"/>
      <c r="N237" s="26"/>
      <c r="O237" s="24"/>
      <c r="P237" s="24"/>
      <c r="Q237" s="26"/>
      <c r="R237" s="24"/>
    </row>
    <row r="238" spans="5:18" x14ac:dyDescent="0.25">
      <c r="E238" s="24"/>
      <c r="F238" s="24"/>
      <c r="G238" s="24"/>
      <c r="H238" s="24"/>
      <c r="L238" s="21"/>
      <c r="N238" s="26"/>
      <c r="O238" s="24"/>
      <c r="P238" s="24"/>
      <c r="Q238" s="26"/>
      <c r="R238" s="24"/>
    </row>
    <row r="239" spans="5:18" x14ac:dyDescent="0.25">
      <c r="E239" s="24"/>
      <c r="F239" s="24"/>
      <c r="G239" s="24"/>
      <c r="H239" s="24"/>
      <c r="L239" s="21"/>
      <c r="N239" s="26"/>
      <c r="O239" s="24"/>
      <c r="P239" s="24"/>
      <c r="Q239" s="26"/>
      <c r="R239" s="24"/>
    </row>
    <row r="240" spans="5:18" x14ac:dyDescent="0.25">
      <c r="E240" s="24"/>
      <c r="F240" s="24"/>
      <c r="G240" s="24"/>
      <c r="H240" s="24"/>
      <c r="L240" s="21"/>
      <c r="N240" s="26"/>
      <c r="O240" s="24"/>
      <c r="P240" s="24"/>
      <c r="Q240" s="26"/>
      <c r="R240" s="24"/>
    </row>
    <row r="241" spans="5:18" x14ac:dyDescent="0.25">
      <c r="E241" s="24"/>
      <c r="F241" s="24"/>
      <c r="G241" s="24"/>
      <c r="H241" s="24"/>
      <c r="L241" s="21"/>
      <c r="N241" s="26"/>
      <c r="O241" s="24"/>
      <c r="P241" s="24"/>
      <c r="Q241" s="26"/>
      <c r="R241" s="24"/>
    </row>
    <row r="242" spans="5:18" x14ac:dyDescent="0.25">
      <c r="E242" s="24"/>
      <c r="F242" s="24"/>
      <c r="G242" s="24"/>
      <c r="H242" s="24"/>
      <c r="L242" s="21"/>
      <c r="N242" s="26"/>
      <c r="O242" s="24"/>
      <c r="P242" s="24"/>
      <c r="Q242" s="26"/>
      <c r="R242" s="24"/>
    </row>
    <row r="243" spans="5:18" x14ac:dyDescent="0.25">
      <c r="E243" s="24"/>
      <c r="F243" s="24"/>
      <c r="G243" s="24"/>
      <c r="H243" s="24"/>
      <c r="L243" s="21"/>
      <c r="N243" s="26"/>
      <c r="O243" s="24"/>
      <c r="P243" s="24"/>
      <c r="Q243" s="26"/>
      <c r="R243" s="24"/>
    </row>
    <row r="244" spans="5:18" x14ac:dyDescent="0.25">
      <c r="E244" s="24"/>
      <c r="F244" s="24"/>
      <c r="G244" s="24"/>
      <c r="H244" s="24"/>
      <c r="L244" s="21"/>
      <c r="N244" s="26"/>
      <c r="O244" s="24"/>
      <c r="P244" s="24"/>
      <c r="Q244" s="26"/>
      <c r="R244" s="24"/>
    </row>
    <row r="245" spans="5:18" x14ac:dyDescent="0.25">
      <c r="E245" s="24"/>
      <c r="F245" s="24"/>
      <c r="G245" s="24"/>
      <c r="H245" s="24"/>
      <c r="L245" s="21"/>
      <c r="N245" s="26"/>
      <c r="O245" s="24"/>
      <c r="P245" s="24"/>
      <c r="Q245" s="26"/>
      <c r="R245" s="24"/>
    </row>
    <row r="246" spans="5:18" x14ac:dyDescent="0.25">
      <c r="E246" s="24"/>
      <c r="F246" s="24"/>
      <c r="G246" s="24"/>
      <c r="H246" s="24"/>
      <c r="L246" s="21"/>
      <c r="N246" s="26"/>
      <c r="O246" s="24"/>
      <c r="P246" s="24"/>
      <c r="Q246" s="26"/>
      <c r="R246" s="24"/>
    </row>
    <row r="247" spans="5:18" x14ac:dyDescent="0.25">
      <c r="E247" s="24"/>
      <c r="F247" s="24"/>
      <c r="G247" s="24"/>
      <c r="H247" s="24"/>
      <c r="L247" s="21"/>
      <c r="N247" s="26"/>
      <c r="O247" s="24"/>
      <c r="P247" s="24"/>
      <c r="Q247" s="26"/>
      <c r="R247" s="24"/>
    </row>
    <row r="248" spans="5:18" x14ac:dyDescent="0.25">
      <c r="E248" s="24"/>
      <c r="F248" s="24"/>
      <c r="G248" s="24"/>
      <c r="H248" s="24"/>
      <c r="L248" s="21"/>
      <c r="N248" s="26"/>
      <c r="O248" s="24"/>
      <c r="P248" s="24"/>
      <c r="Q248" s="26"/>
      <c r="R248" s="24"/>
    </row>
    <row r="249" spans="5:18" x14ac:dyDescent="0.25">
      <c r="E249" s="24"/>
      <c r="F249" s="24"/>
      <c r="G249" s="24"/>
      <c r="H249" s="24"/>
      <c r="L249" s="21"/>
      <c r="N249" s="26"/>
      <c r="O249" s="24"/>
      <c r="P249" s="24"/>
      <c r="Q249" s="26"/>
      <c r="R249" s="24"/>
    </row>
    <row r="250" spans="5:18" x14ac:dyDescent="0.25">
      <c r="E250" s="24"/>
      <c r="F250" s="24"/>
      <c r="G250" s="24"/>
      <c r="H250" s="24"/>
      <c r="L250" s="21"/>
      <c r="N250" s="26"/>
      <c r="O250" s="24"/>
      <c r="P250" s="24"/>
      <c r="Q250" s="26"/>
      <c r="R250" s="24"/>
    </row>
    <row r="251" spans="5:18" x14ac:dyDescent="0.25">
      <c r="E251" s="24"/>
      <c r="F251" s="24"/>
      <c r="G251" s="24"/>
      <c r="H251" s="24"/>
      <c r="L251" s="21"/>
      <c r="N251" s="26"/>
      <c r="O251" s="24"/>
      <c r="P251" s="24"/>
      <c r="Q251" s="26"/>
      <c r="R251" s="24"/>
    </row>
    <row r="252" spans="5:18" x14ac:dyDescent="0.25">
      <c r="E252" s="24"/>
      <c r="F252" s="24"/>
      <c r="G252" s="24"/>
      <c r="H252" s="24"/>
      <c r="L252" s="21"/>
      <c r="N252" s="26"/>
      <c r="O252" s="24"/>
      <c r="P252" s="24"/>
      <c r="Q252" s="26"/>
      <c r="R252" s="24"/>
    </row>
    <row r="253" spans="5:18" x14ac:dyDescent="0.25">
      <c r="E253" s="24"/>
      <c r="F253" s="24"/>
      <c r="G253" s="24"/>
      <c r="H253" s="24"/>
      <c r="L253" s="21"/>
      <c r="N253" s="26"/>
      <c r="O253" s="24"/>
      <c r="P253" s="24"/>
      <c r="Q253" s="26"/>
      <c r="R253" s="24"/>
    </row>
    <row r="254" spans="5:18" x14ac:dyDescent="0.25">
      <c r="E254" s="24"/>
      <c r="F254" s="24"/>
      <c r="G254" s="24"/>
      <c r="H254" s="24"/>
      <c r="L254" s="21"/>
      <c r="N254" s="26"/>
      <c r="O254" s="24"/>
      <c r="P254" s="24"/>
      <c r="Q254" s="26"/>
      <c r="R254" s="24"/>
    </row>
    <row r="255" spans="5:18" x14ac:dyDescent="0.25">
      <c r="E255" s="24"/>
      <c r="F255" s="24"/>
      <c r="G255" s="24"/>
      <c r="H255" s="24"/>
      <c r="L255" s="21"/>
      <c r="N255" s="26"/>
      <c r="O255" s="24"/>
      <c r="P255" s="24"/>
      <c r="Q255" s="26"/>
      <c r="R255" s="24"/>
    </row>
    <row r="256" spans="5:18" x14ac:dyDescent="0.25">
      <c r="E256" s="24"/>
      <c r="F256" s="24"/>
      <c r="G256" s="24"/>
      <c r="H256" s="24"/>
      <c r="L256" s="21"/>
      <c r="N256" s="26"/>
      <c r="O256" s="24"/>
      <c r="P256" s="24"/>
      <c r="Q256" s="26"/>
      <c r="R256" s="24"/>
    </row>
    <row r="257" spans="5:18" x14ac:dyDescent="0.25">
      <c r="E257" s="24"/>
      <c r="F257" s="24"/>
      <c r="G257" s="24"/>
      <c r="H257" s="24"/>
      <c r="L257" s="21"/>
      <c r="N257" s="26"/>
      <c r="O257" s="24"/>
      <c r="P257" s="24"/>
      <c r="Q257" s="26"/>
      <c r="R257" s="24"/>
    </row>
    <row r="258" spans="5:18" x14ac:dyDescent="0.25">
      <c r="E258" s="24"/>
      <c r="F258" s="24"/>
      <c r="G258" s="24"/>
      <c r="H258" s="24"/>
      <c r="L258" s="21"/>
      <c r="N258" s="26"/>
      <c r="O258" s="24"/>
      <c r="P258" s="24"/>
      <c r="Q258" s="26"/>
      <c r="R258" s="24"/>
    </row>
    <row r="259" spans="5:18" x14ac:dyDescent="0.25">
      <c r="E259" s="24"/>
      <c r="F259" s="24"/>
      <c r="G259" s="24"/>
      <c r="H259" s="24"/>
      <c r="L259" s="21"/>
      <c r="N259" s="26"/>
      <c r="O259" s="24"/>
      <c r="P259" s="24"/>
      <c r="Q259" s="26"/>
      <c r="R259" s="24"/>
    </row>
    <row r="260" spans="5:18" x14ac:dyDescent="0.25">
      <c r="E260" s="24"/>
      <c r="F260" s="24"/>
      <c r="G260" s="24"/>
      <c r="H260" s="24"/>
      <c r="L260" s="21"/>
      <c r="N260" s="26"/>
      <c r="O260" s="24"/>
      <c r="P260" s="24"/>
      <c r="Q260" s="26"/>
      <c r="R260" s="24"/>
    </row>
    <row r="261" spans="5:18" x14ac:dyDescent="0.25">
      <c r="E261" s="24"/>
      <c r="F261" s="24"/>
      <c r="G261" s="24"/>
      <c r="H261" s="24"/>
      <c r="L261" s="21"/>
      <c r="N261" s="26"/>
      <c r="O261" s="24"/>
      <c r="P261" s="24"/>
      <c r="Q261" s="26"/>
      <c r="R261" s="24"/>
    </row>
    <row r="262" spans="5:18" x14ac:dyDescent="0.25">
      <c r="E262" s="24"/>
      <c r="F262" s="24"/>
      <c r="G262" s="24"/>
      <c r="H262" s="24"/>
      <c r="L262" s="21"/>
      <c r="N262" s="26"/>
      <c r="O262" s="24"/>
      <c r="P262" s="24"/>
      <c r="Q262" s="26"/>
      <c r="R262" s="24"/>
    </row>
    <row r="263" spans="5:18" x14ac:dyDescent="0.25">
      <c r="E263" s="24"/>
      <c r="F263" s="24"/>
      <c r="G263" s="24"/>
      <c r="H263" s="24"/>
      <c r="L263" s="21"/>
      <c r="N263" s="26"/>
      <c r="O263" s="24"/>
      <c r="P263" s="24"/>
      <c r="Q263" s="26"/>
      <c r="R263" s="24"/>
    </row>
    <row r="264" spans="5:18" x14ac:dyDescent="0.25">
      <c r="E264" s="24"/>
      <c r="F264" s="24"/>
      <c r="G264" s="24"/>
      <c r="H264" s="24"/>
      <c r="L264" s="21"/>
      <c r="N264" s="26"/>
      <c r="O264" s="24"/>
      <c r="P264" s="24"/>
      <c r="Q264" s="26"/>
      <c r="R264" s="24"/>
    </row>
    <row r="265" spans="5:18" x14ac:dyDescent="0.25">
      <c r="E265" s="24"/>
      <c r="F265" s="24"/>
      <c r="G265" s="24"/>
      <c r="H265" s="24"/>
      <c r="L265" s="21"/>
      <c r="N265" s="26"/>
      <c r="O265" s="24"/>
      <c r="P265" s="24"/>
      <c r="Q265" s="26"/>
      <c r="R265" s="24"/>
    </row>
    <row r="266" spans="5:18" x14ac:dyDescent="0.25">
      <c r="E266" s="24"/>
      <c r="F266" s="24"/>
      <c r="G266" s="24"/>
      <c r="H266" s="24"/>
      <c r="L266" s="21"/>
      <c r="N266" s="26"/>
      <c r="O266" s="24"/>
      <c r="P266" s="24"/>
      <c r="Q266" s="26"/>
      <c r="R266" s="24"/>
    </row>
    <row r="267" spans="5:18" x14ac:dyDescent="0.25">
      <c r="E267" s="24"/>
      <c r="F267" s="24"/>
      <c r="G267" s="24"/>
      <c r="H267" s="24"/>
      <c r="L267" s="21"/>
      <c r="N267" s="26"/>
      <c r="O267" s="24"/>
      <c r="P267" s="24"/>
      <c r="Q267" s="26"/>
      <c r="R267" s="24"/>
    </row>
    <row r="268" spans="5:18" x14ac:dyDescent="0.25">
      <c r="E268" s="24"/>
      <c r="F268" s="24"/>
      <c r="G268" s="24"/>
      <c r="H268" s="24"/>
      <c r="L268" s="21"/>
      <c r="N268" s="26"/>
      <c r="O268" s="24"/>
      <c r="P268" s="24"/>
      <c r="Q268" s="26"/>
      <c r="R268" s="24"/>
    </row>
    <row r="269" spans="5:18" x14ac:dyDescent="0.25">
      <c r="E269" s="24"/>
      <c r="F269" s="24"/>
      <c r="G269" s="24"/>
      <c r="H269" s="24"/>
      <c r="L269" s="21"/>
      <c r="N269" s="26"/>
      <c r="O269" s="24"/>
      <c r="P269" s="24"/>
      <c r="Q269" s="26"/>
      <c r="R269" s="24"/>
    </row>
    <row r="270" spans="5:18" x14ac:dyDescent="0.25">
      <c r="E270" s="24"/>
      <c r="F270" s="24"/>
      <c r="G270" s="24"/>
      <c r="H270" s="24"/>
      <c r="L270" s="21"/>
      <c r="N270" s="26"/>
      <c r="O270" s="24"/>
      <c r="P270" s="24"/>
      <c r="Q270" s="26"/>
      <c r="R270" s="24"/>
    </row>
    <row r="271" spans="5:18" x14ac:dyDescent="0.25">
      <c r="E271" s="24"/>
      <c r="F271" s="24"/>
      <c r="G271" s="24"/>
      <c r="H271" s="24"/>
      <c r="L271" s="21"/>
      <c r="N271" s="26"/>
      <c r="O271" s="24"/>
      <c r="P271" s="24"/>
      <c r="Q271" s="26"/>
      <c r="R271" s="24"/>
    </row>
    <row r="272" spans="5:18" x14ac:dyDescent="0.25">
      <c r="E272" s="24"/>
      <c r="F272" s="24"/>
      <c r="G272" s="24"/>
      <c r="H272" s="24"/>
      <c r="L272" s="21"/>
      <c r="N272" s="26"/>
      <c r="O272" s="24"/>
      <c r="P272" s="24"/>
      <c r="Q272" s="26"/>
      <c r="R272" s="24"/>
    </row>
    <row r="273" spans="5:18" x14ac:dyDescent="0.25">
      <c r="E273" s="24"/>
      <c r="F273" s="24"/>
      <c r="G273" s="24"/>
      <c r="H273" s="24"/>
      <c r="L273" s="21"/>
      <c r="N273" s="26"/>
      <c r="O273" s="24"/>
      <c r="P273" s="24"/>
      <c r="Q273" s="26"/>
      <c r="R273" s="24"/>
    </row>
    <row r="274" spans="5:18" x14ac:dyDescent="0.25">
      <c r="E274" s="24"/>
      <c r="F274" s="24"/>
      <c r="G274" s="24"/>
      <c r="H274" s="24"/>
      <c r="L274" s="21"/>
      <c r="N274" s="26"/>
      <c r="O274" s="24"/>
      <c r="P274" s="24"/>
      <c r="Q274" s="26"/>
      <c r="R274" s="24"/>
    </row>
    <row r="275" spans="5:18" x14ac:dyDescent="0.25">
      <c r="E275" s="24"/>
      <c r="F275" s="24"/>
      <c r="G275" s="24"/>
      <c r="H275" s="24"/>
      <c r="L275" s="21"/>
      <c r="N275" s="26"/>
      <c r="O275" s="24"/>
      <c r="P275" s="24"/>
      <c r="Q275" s="26"/>
      <c r="R275" s="24"/>
    </row>
    <row r="276" spans="5:18" x14ac:dyDescent="0.25">
      <c r="E276" s="24"/>
      <c r="F276" s="24"/>
      <c r="G276" s="24"/>
      <c r="H276" s="24"/>
      <c r="L276" s="21"/>
      <c r="N276" s="26"/>
      <c r="O276" s="24"/>
      <c r="P276" s="24"/>
      <c r="Q276" s="26"/>
      <c r="R276" s="24"/>
    </row>
    <row r="277" spans="5:18" x14ac:dyDescent="0.25">
      <c r="E277" s="24"/>
      <c r="F277" s="24"/>
      <c r="G277" s="24"/>
      <c r="H277" s="24"/>
      <c r="L277" s="21"/>
      <c r="N277" s="26"/>
      <c r="O277" s="24"/>
      <c r="P277" s="24"/>
      <c r="Q277" s="26"/>
      <c r="R277" s="24"/>
    </row>
    <row r="278" spans="5:18" x14ac:dyDescent="0.25">
      <c r="E278" s="24"/>
      <c r="F278" s="24"/>
      <c r="G278" s="24"/>
      <c r="H278" s="24"/>
      <c r="L278" s="21"/>
      <c r="N278" s="26"/>
      <c r="O278" s="24"/>
      <c r="P278" s="24"/>
      <c r="Q278" s="26"/>
      <c r="R278" s="24"/>
    </row>
    <row r="279" spans="5:18" x14ac:dyDescent="0.25">
      <c r="E279" s="24"/>
      <c r="F279" s="24"/>
      <c r="G279" s="24"/>
      <c r="H279" s="24"/>
      <c r="L279" s="21"/>
      <c r="N279" s="26"/>
      <c r="O279" s="24"/>
      <c r="P279" s="24"/>
      <c r="Q279" s="26"/>
      <c r="R279" s="24"/>
    </row>
    <row r="280" spans="5:18" x14ac:dyDescent="0.25">
      <c r="E280" s="24"/>
      <c r="F280" s="24"/>
      <c r="G280" s="24"/>
      <c r="H280" s="24"/>
      <c r="L280" s="21"/>
      <c r="N280" s="26"/>
      <c r="O280" s="24"/>
      <c r="P280" s="24"/>
      <c r="Q280" s="26"/>
      <c r="R280" s="24"/>
    </row>
    <row r="281" spans="5:18" x14ac:dyDescent="0.25">
      <c r="E281" s="24"/>
      <c r="F281" s="24"/>
      <c r="G281" s="24"/>
      <c r="H281" s="24"/>
      <c r="L281" s="21"/>
      <c r="N281" s="26"/>
      <c r="O281" s="24"/>
      <c r="P281" s="24"/>
      <c r="Q281" s="26"/>
      <c r="R281" s="24"/>
    </row>
    <row r="282" spans="5:18" x14ac:dyDescent="0.25">
      <c r="E282" s="24"/>
      <c r="F282" s="24"/>
      <c r="G282" s="24"/>
      <c r="H282" s="24"/>
      <c r="L282" s="21"/>
      <c r="N282" s="26"/>
      <c r="O282" s="24"/>
      <c r="P282" s="24"/>
      <c r="Q282" s="26"/>
      <c r="R282" s="24"/>
    </row>
    <row r="283" spans="5:18" x14ac:dyDescent="0.25">
      <c r="E283" s="24"/>
      <c r="F283" s="24"/>
      <c r="G283" s="24"/>
      <c r="H283" s="24"/>
      <c r="L283" s="21"/>
      <c r="N283" s="26"/>
      <c r="O283" s="24"/>
      <c r="P283" s="24"/>
      <c r="Q283" s="26"/>
      <c r="R283" s="24"/>
    </row>
    <row r="284" spans="5:18" x14ac:dyDescent="0.25">
      <c r="E284" s="24"/>
      <c r="F284" s="24"/>
      <c r="G284" s="24"/>
      <c r="H284" s="24"/>
      <c r="L284" s="21"/>
      <c r="N284" s="26"/>
      <c r="O284" s="24"/>
      <c r="P284" s="24"/>
      <c r="Q284" s="26"/>
      <c r="R284" s="24"/>
    </row>
    <row r="285" spans="5:18" x14ac:dyDescent="0.25">
      <c r="E285" s="24"/>
      <c r="F285" s="24"/>
      <c r="G285" s="24"/>
      <c r="H285" s="24"/>
      <c r="L285" s="21"/>
      <c r="N285" s="26"/>
      <c r="O285" s="24"/>
      <c r="P285" s="24"/>
      <c r="Q285" s="26"/>
      <c r="R285" s="24"/>
    </row>
    <row r="286" spans="5:18" x14ac:dyDescent="0.25">
      <c r="E286" s="24"/>
      <c r="F286" s="24"/>
      <c r="G286" s="24"/>
      <c r="H286" s="24"/>
      <c r="L286" s="21"/>
      <c r="N286" s="26"/>
      <c r="O286" s="24"/>
      <c r="P286" s="24"/>
      <c r="Q286" s="26"/>
      <c r="R286" s="24"/>
    </row>
    <row r="287" spans="5:18" x14ac:dyDescent="0.25">
      <c r="E287" s="24"/>
      <c r="F287" s="24"/>
      <c r="G287" s="24"/>
      <c r="H287" s="24"/>
      <c r="L287" s="21"/>
      <c r="N287" s="26"/>
      <c r="O287" s="24"/>
      <c r="P287" s="24"/>
      <c r="Q287" s="26"/>
      <c r="R287" s="24"/>
    </row>
    <row r="288" spans="5:18" x14ac:dyDescent="0.25">
      <c r="E288" s="24"/>
      <c r="F288" s="24"/>
      <c r="G288" s="24"/>
      <c r="H288" s="24"/>
      <c r="L288" s="21"/>
      <c r="N288" s="26"/>
      <c r="O288" s="24"/>
      <c r="P288" s="24"/>
      <c r="Q288" s="26"/>
      <c r="R288" s="24"/>
    </row>
    <row r="289" spans="5:18" x14ac:dyDescent="0.25">
      <c r="E289" s="24"/>
      <c r="F289" s="24"/>
      <c r="G289" s="24"/>
      <c r="H289" s="24"/>
      <c r="L289" s="21"/>
      <c r="N289" s="26"/>
      <c r="O289" s="24"/>
      <c r="P289" s="24"/>
      <c r="Q289" s="26"/>
      <c r="R289" s="24"/>
    </row>
    <row r="290" spans="5:18" x14ac:dyDescent="0.25">
      <c r="E290" s="24"/>
      <c r="F290" s="24"/>
      <c r="G290" s="24"/>
      <c r="H290" s="24"/>
      <c r="L290" s="21"/>
      <c r="N290" s="26"/>
      <c r="O290" s="24"/>
      <c r="P290" s="24"/>
      <c r="Q290" s="26"/>
      <c r="R290" s="24"/>
    </row>
    <row r="291" spans="5:18" x14ac:dyDescent="0.25">
      <c r="E291" s="24"/>
      <c r="F291" s="24"/>
      <c r="G291" s="24"/>
      <c r="H291" s="24"/>
      <c r="L291" s="21"/>
      <c r="N291" s="26"/>
      <c r="O291" s="24"/>
      <c r="P291" s="24"/>
      <c r="Q291" s="26"/>
      <c r="R291" s="24"/>
    </row>
    <row r="292" spans="5:18" x14ac:dyDescent="0.25">
      <c r="E292" s="24"/>
      <c r="F292" s="24"/>
      <c r="G292" s="24"/>
      <c r="H292" s="24"/>
      <c r="L292" s="21"/>
      <c r="N292" s="26"/>
      <c r="O292" s="24"/>
      <c r="P292" s="24"/>
      <c r="Q292" s="26"/>
      <c r="R292" s="24"/>
    </row>
    <row r="293" spans="5:18" x14ac:dyDescent="0.25">
      <c r="E293" s="24"/>
      <c r="F293" s="24"/>
      <c r="G293" s="24"/>
      <c r="H293" s="24"/>
      <c r="L293" s="21"/>
      <c r="N293" s="26"/>
      <c r="O293" s="24"/>
      <c r="P293" s="24"/>
      <c r="Q293" s="26"/>
      <c r="R293" s="24"/>
    </row>
    <row r="294" spans="5:18" x14ac:dyDescent="0.25">
      <c r="E294" s="24"/>
      <c r="F294" s="24"/>
      <c r="G294" s="24"/>
      <c r="H294" s="24"/>
      <c r="L294" s="21"/>
      <c r="N294" s="26"/>
      <c r="O294" s="24"/>
      <c r="P294" s="24"/>
      <c r="Q294" s="26"/>
      <c r="R294" s="24"/>
    </row>
    <row r="295" spans="5:18" x14ac:dyDescent="0.25">
      <c r="E295" s="24"/>
      <c r="F295" s="24"/>
      <c r="G295" s="24"/>
      <c r="H295" s="24"/>
      <c r="L295" s="21"/>
      <c r="N295" s="26"/>
      <c r="O295" s="24"/>
      <c r="P295" s="24"/>
      <c r="Q295" s="26"/>
      <c r="R295" s="24"/>
    </row>
    <row r="296" spans="5:18" x14ac:dyDescent="0.25">
      <c r="E296" s="24"/>
      <c r="F296" s="24"/>
      <c r="G296" s="24"/>
      <c r="H296" s="24"/>
      <c r="L296" s="21"/>
      <c r="N296" s="26"/>
      <c r="O296" s="24"/>
      <c r="P296" s="24"/>
      <c r="Q296" s="26"/>
      <c r="R296" s="24"/>
    </row>
    <row r="297" spans="5:18" x14ac:dyDescent="0.25">
      <c r="E297" s="24"/>
      <c r="F297" s="24"/>
      <c r="G297" s="24"/>
      <c r="H297" s="24"/>
      <c r="L297" s="21"/>
      <c r="N297" s="26"/>
      <c r="O297" s="24"/>
      <c r="P297" s="24"/>
      <c r="Q297" s="26"/>
      <c r="R297" s="24"/>
    </row>
    <row r="298" spans="5:18" x14ac:dyDescent="0.25">
      <c r="E298" s="24"/>
      <c r="F298" s="24"/>
      <c r="G298" s="24"/>
      <c r="H298" s="24"/>
      <c r="L298" s="21"/>
      <c r="N298" s="26"/>
      <c r="O298" s="24"/>
      <c r="P298" s="24"/>
      <c r="Q298" s="26"/>
      <c r="R298" s="24"/>
    </row>
    <row r="299" spans="5:18" x14ac:dyDescent="0.25">
      <c r="E299" s="24"/>
      <c r="F299" s="24"/>
      <c r="G299" s="24"/>
      <c r="H299" s="24"/>
      <c r="L299" s="21"/>
      <c r="N299" s="26"/>
      <c r="O299" s="24"/>
      <c r="P299" s="24"/>
      <c r="Q299" s="26"/>
      <c r="R299" s="24"/>
    </row>
    <row r="300" spans="5:18" x14ac:dyDescent="0.25">
      <c r="E300" s="24"/>
      <c r="F300" s="24"/>
      <c r="G300" s="24"/>
      <c r="H300" s="24"/>
      <c r="L300" s="21"/>
      <c r="N300" s="26"/>
      <c r="O300" s="24"/>
      <c r="P300" s="24"/>
      <c r="Q300" s="26"/>
      <c r="R300" s="24"/>
    </row>
    <row r="301" spans="5:18" x14ac:dyDescent="0.25">
      <c r="E301" s="24"/>
      <c r="F301" s="24"/>
      <c r="G301" s="24"/>
      <c r="H301" s="24"/>
      <c r="L301" s="21"/>
      <c r="N301" s="26"/>
      <c r="O301" s="24"/>
      <c r="P301" s="24"/>
      <c r="Q301" s="26"/>
      <c r="R301" s="24"/>
    </row>
    <row r="302" spans="5:18" x14ac:dyDescent="0.25">
      <c r="E302" s="24"/>
      <c r="F302" s="24"/>
      <c r="G302" s="24"/>
      <c r="H302" s="24"/>
      <c r="L302" s="21"/>
      <c r="N302" s="26"/>
      <c r="O302" s="24"/>
      <c r="P302" s="24"/>
      <c r="Q302" s="26"/>
      <c r="R302" s="24"/>
    </row>
    <row r="303" spans="5:18" x14ac:dyDescent="0.25">
      <c r="E303" s="24"/>
      <c r="F303" s="24"/>
      <c r="G303" s="24"/>
      <c r="H303" s="24"/>
      <c r="L303" s="21"/>
      <c r="N303" s="26"/>
      <c r="O303" s="24"/>
      <c r="P303" s="24"/>
      <c r="Q303" s="26"/>
      <c r="R303" s="24"/>
    </row>
    <row r="304" spans="5:18" x14ac:dyDescent="0.25">
      <c r="E304" s="24"/>
      <c r="F304" s="24"/>
      <c r="G304" s="24"/>
      <c r="H304" s="24"/>
      <c r="L304" s="21"/>
      <c r="N304" s="26"/>
      <c r="O304" s="24"/>
      <c r="P304" s="24"/>
      <c r="Q304" s="26"/>
      <c r="R304" s="24"/>
    </row>
    <row r="305" spans="5:18" x14ac:dyDescent="0.25">
      <c r="E305" s="24"/>
      <c r="F305" s="24"/>
      <c r="G305" s="24"/>
      <c r="H305" s="24"/>
      <c r="L305" s="21"/>
      <c r="N305" s="26"/>
      <c r="O305" s="24"/>
      <c r="P305" s="24"/>
      <c r="Q305" s="26"/>
      <c r="R305" s="24"/>
    </row>
    <row r="306" spans="5:18" x14ac:dyDescent="0.25">
      <c r="E306" s="24"/>
      <c r="F306" s="24"/>
      <c r="G306" s="24"/>
      <c r="H306" s="24"/>
      <c r="L306" s="21"/>
      <c r="N306" s="26"/>
      <c r="O306" s="24"/>
      <c r="P306" s="24"/>
      <c r="Q306" s="26"/>
      <c r="R306" s="24"/>
    </row>
    <row r="307" spans="5:18" x14ac:dyDescent="0.25">
      <c r="E307" s="24"/>
      <c r="F307" s="24"/>
      <c r="G307" s="24"/>
      <c r="H307" s="24"/>
      <c r="L307" s="21"/>
      <c r="N307" s="26"/>
      <c r="O307" s="24"/>
      <c r="P307" s="24"/>
      <c r="Q307" s="26"/>
      <c r="R307" s="24"/>
    </row>
    <row r="308" spans="5:18" x14ac:dyDescent="0.25">
      <c r="E308" s="24"/>
      <c r="F308" s="24"/>
      <c r="G308" s="24"/>
      <c r="H308" s="24"/>
      <c r="L308" s="21"/>
      <c r="N308" s="26"/>
      <c r="O308" s="24"/>
      <c r="P308" s="24"/>
      <c r="Q308" s="26"/>
      <c r="R308" s="24"/>
    </row>
    <row r="309" spans="5:18" x14ac:dyDescent="0.25">
      <c r="E309" s="24"/>
      <c r="F309" s="24"/>
      <c r="G309" s="24"/>
      <c r="H309" s="24"/>
      <c r="L309" s="21"/>
      <c r="N309" s="26"/>
      <c r="O309" s="24"/>
      <c r="P309" s="24"/>
      <c r="Q309" s="26"/>
      <c r="R309" s="24"/>
    </row>
    <row r="310" spans="5:18" x14ac:dyDescent="0.25">
      <c r="E310" s="24"/>
      <c r="F310" s="24"/>
      <c r="G310" s="24"/>
      <c r="H310" s="24"/>
      <c r="L310" s="21"/>
      <c r="N310" s="26"/>
      <c r="O310" s="24"/>
      <c r="P310" s="24"/>
      <c r="Q310" s="26"/>
      <c r="R310" s="24"/>
    </row>
    <row r="311" spans="5:18" x14ac:dyDescent="0.25">
      <c r="E311" s="24"/>
      <c r="F311" s="24"/>
      <c r="G311" s="24"/>
      <c r="H311" s="24"/>
      <c r="L311" s="21"/>
      <c r="N311" s="26"/>
      <c r="O311" s="24"/>
      <c r="P311" s="24"/>
      <c r="Q311" s="26"/>
      <c r="R311" s="24"/>
    </row>
    <row r="312" spans="5:18" x14ac:dyDescent="0.25">
      <c r="E312" s="24"/>
      <c r="F312" s="24"/>
      <c r="G312" s="24"/>
      <c r="H312" s="24"/>
      <c r="L312" s="21"/>
      <c r="N312" s="26"/>
      <c r="O312" s="24"/>
      <c r="P312" s="24"/>
      <c r="Q312" s="26"/>
      <c r="R312" s="24"/>
    </row>
    <row r="313" spans="5:18" x14ac:dyDescent="0.25">
      <c r="E313" s="24"/>
      <c r="F313" s="24"/>
      <c r="G313" s="24"/>
      <c r="H313" s="24"/>
      <c r="L313" s="21"/>
      <c r="N313" s="26"/>
      <c r="O313" s="24"/>
      <c r="P313" s="24"/>
      <c r="Q313" s="26"/>
      <c r="R313" s="24"/>
    </row>
    <row r="314" spans="5:18" x14ac:dyDescent="0.25">
      <c r="E314" s="24"/>
      <c r="F314" s="24"/>
      <c r="G314" s="24"/>
      <c r="H314" s="24"/>
      <c r="L314" s="21"/>
      <c r="N314" s="26"/>
      <c r="O314" s="24"/>
      <c r="P314" s="24"/>
      <c r="Q314" s="26"/>
      <c r="R314" s="24"/>
    </row>
    <row r="315" spans="5:18" x14ac:dyDescent="0.25">
      <c r="E315" s="24"/>
      <c r="F315" s="24"/>
      <c r="G315" s="24"/>
      <c r="H315" s="24"/>
      <c r="L315" s="21"/>
      <c r="N315" s="26"/>
      <c r="O315" s="24"/>
      <c r="P315" s="24"/>
      <c r="Q315" s="26"/>
      <c r="R315" s="24"/>
    </row>
    <row r="316" spans="5:18" x14ac:dyDescent="0.25">
      <c r="E316" s="24"/>
      <c r="F316" s="24"/>
      <c r="G316" s="24"/>
      <c r="H316" s="24"/>
      <c r="L316" s="21"/>
      <c r="N316" s="26"/>
      <c r="O316" s="24"/>
      <c r="P316" s="24"/>
      <c r="Q316" s="26"/>
      <c r="R316" s="24"/>
    </row>
    <row r="317" spans="5:18" x14ac:dyDescent="0.25">
      <c r="E317" s="24"/>
      <c r="F317" s="24"/>
      <c r="G317" s="24"/>
      <c r="H317" s="24"/>
      <c r="L317" s="21"/>
      <c r="N317" s="26"/>
      <c r="O317" s="24"/>
      <c r="P317" s="24"/>
      <c r="Q317" s="26"/>
      <c r="R317" s="24"/>
    </row>
    <row r="318" spans="5:18" x14ac:dyDescent="0.25">
      <c r="E318" s="24"/>
      <c r="F318" s="24"/>
      <c r="G318" s="24"/>
      <c r="H318" s="24"/>
      <c r="L318" s="21"/>
      <c r="N318" s="26"/>
      <c r="O318" s="24"/>
      <c r="P318" s="24"/>
      <c r="Q318" s="26"/>
      <c r="R318" s="24"/>
    </row>
    <row r="319" spans="5:18" x14ac:dyDescent="0.25">
      <c r="E319" s="24"/>
      <c r="F319" s="24"/>
      <c r="G319" s="24"/>
      <c r="H319" s="24"/>
      <c r="L319" s="21"/>
      <c r="N319" s="26"/>
      <c r="O319" s="24"/>
      <c r="P319" s="24"/>
      <c r="Q319" s="26"/>
      <c r="R319" s="24"/>
    </row>
    <row r="320" spans="5:18" x14ac:dyDescent="0.25">
      <c r="E320" s="24"/>
      <c r="F320" s="24"/>
      <c r="G320" s="24"/>
      <c r="H320" s="24"/>
      <c r="L320" s="21"/>
      <c r="N320" s="26"/>
      <c r="O320" s="24"/>
      <c r="P320" s="24"/>
      <c r="Q320" s="26"/>
      <c r="R320" s="24"/>
    </row>
    <row r="321" spans="5:18" x14ac:dyDescent="0.25">
      <c r="E321" s="24"/>
      <c r="F321" s="24"/>
      <c r="G321" s="24"/>
      <c r="H321" s="24"/>
      <c r="L321" s="21"/>
      <c r="N321" s="26"/>
      <c r="O321" s="24"/>
      <c r="P321" s="24"/>
      <c r="Q321" s="26"/>
      <c r="R321" s="24"/>
    </row>
    <row r="322" spans="5:18" x14ac:dyDescent="0.25">
      <c r="E322" s="24"/>
      <c r="F322" s="24"/>
      <c r="G322" s="24"/>
      <c r="H322" s="24"/>
      <c r="L322" s="21"/>
      <c r="N322" s="26"/>
      <c r="O322" s="24"/>
      <c r="P322" s="24"/>
      <c r="Q322" s="26"/>
      <c r="R322" s="24"/>
    </row>
    <row r="323" spans="5:18" x14ac:dyDescent="0.25">
      <c r="E323" s="24"/>
      <c r="F323" s="24"/>
      <c r="G323" s="24"/>
      <c r="H323" s="24"/>
      <c r="L323" s="21"/>
      <c r="N323" s="26"/>
      <c r="O323" s="24"/>
      <c r="P323" s="24"/>
      <c r="Q323" s="26"/>
      <c r="R323" s="24"/>
    </row>
    <row r="324" spans="5:18" x14ac:dyDescent="0.25">
      <c r="E324" s="24"/>
      <c r="F324" s="24"/>
      <c r="G324" s="24"/>
      <c r="H324" s="24"/>
      <c r="L324" s="21"/>
      <c r="N324" s="26"/>
      <c r="O324" s="24"/>
      <c r="P324" s="24"/>
      <c r="Q324" s="26"/>
      <c r="R324" s="24"/>
    </row>
    <row r="325" spans="5:18" x14ac:dyDescent="0.25">
      <c r="E325" s="24"/>
      <c r="F325" s="24"/>
      <c r="G325" s="24"/>
      <c r="H325" s="24"/>
      <c r="L325" s="21"/>
      <c r="N325" s="26"/>
      <c r="O325" s="24"/>
      <c r="P325" s="24"/>
      <c r="Q325" s="26"/>
      <c r="R325" s="24"/>
    </row>
    <row r="326" spans="5:18" x14ac:dyDescent="0.25">
      <c r="E326" s="24"/>
      <c r="F326" s="24"/>
      <c r="G326" s="24"/>
      <c r="H326" s="24"/>
      <c r="L326" s="21"/>
      <c r="N326" s="26"/>
      <c r="O326" s="24"/>
      <c r="P326" s="24"/>
      <c r="Q326" s="26"/>
      <c r="R326" s="24"/>
    </row>
    <row r="327" spans="5:18" x14ac:dyDescent="0.25">
      <c r="E327" s="24"/>
      <c r="F327" s="24"/>
      <c r="G327" s="24"/>
      <c r="H327" s="24"/>
      <c r="L327" s="21"/>
      <c r="N327" s="26"/>
      <c r="O327" s="24"/>
      <c r="P327" s="24"/>
      <c r="Q327" s="26"/>
      <c r="R327" s="24"/>
    </row>
    <row r="328" spans="5:18" x14ac:dyDescent="0.25">
      <c r="E328" s="24"/>
      <c r="F328" s="24"/>
      <c r="G328" s="24"/>
      <c r="H328" s="24"/>
      <c r="L328" s="21"/>
      <c r="N328" s="26"/>
      <c r="O328" s="24"/>
      <c r="P328" s="24"/>
      <c r="Q328" s="26"/>
      <c r="R328" s="24"/>
    </row>
    <row r="329" spans="5:18" x14ac:dyDescent="0.25">
      <c r="E329" s="24"/>
      <c r="F329" s="24"/>
      <c r="G329" s="24"/>
      <c r="H329" s="24"/>
      <c r="L329" s="21"/>
      <c r="N329" s="26"/>
      <c r="O329" s="24"/>
      <c r="P329" s="24"/>
      <c r="Q329" s="26"/>
      <c r="R329" s="24"/>
    </row>
    <row r="330" spans="5:18" x14ac:dyDescent="0.25">
      <c r="E330" s="24"/>
      <c r="F330" s="24"/>
      <c r="G330" s="24"/>
      <c r="H330" s="24"/>
      <c r="L330" s="21"/>
      <c r="N330" s="26"/>
      <c r="O330" s="24"/>
      <c r="P330" s="24"/>
      <c r="Q330" s="26"/>
      <c r="R330" s="24"/>
    </row>
    <row r="331" spans="5:18" x14ac:dyDescent="0.25">
      <c r="E331" s="24"/>
      <c r="F331" s="24"/>
      <c r="G331" s="24"/>
      <c r="H331" s="24"/>
      <c r="L331" s="21"/>
      <c r="N331" s="26"/>
      <c r="O331" s="24"/>
      <c r="P331" s="24"/>
      <c r="Q331" s="26"/>
      <c r="R331" s="24"/>
    </row>
    <row r="332" spans="5:18" x14ac:dyDescent="0.25">
      <c r="E332" s="24"/>
      <c r="F332" s="24"/>
      <c r="G332" s="24"/>
      <c r="H332" s="24"/>
      <c r="L332" s="21"/>
      <c r="N332" s="26"/>
      <c r="O332" s="24"/>
      <c r="P332" s="24"/>
      <c r="Q332" s="26"/>
      <c r="R332" s="24"/>
    </row>
    <row r="333" spans="5:18" x14ac:dyDescent="0.25">
      <c r="E333" s="24"/>
      <c r="F333" s="24"/>
      <c r="G333" s="24"/>
      <c r="H333" s="24"/>
      <c r="L333" s="21"/>
      <c r="N333" s="26"/>
      <c r="O333" s="24"/>
      <c r="P333" s="24"/>
      <c r="Q333" s="26"/>
      <c r="R333" s="24"/>
    </row>
    <row r="334" spans="5:18" x14ac:dyDescent="0.25">
      <c r="E334" s="24"/>
      <c r="F334" s="24"/>
      <c r="G334" s="24"/>
      <c r="H334" s="24"/>
      <c r="L334" s="21"/>
      <c r="N334" s="26"/>
      <c r="O334" s="24"/>
      <c r="P334" s="24"/>
      <c r="Q334" s="26"/>
      <c r="R334" s="24"/>
    </row>
    <row r="335" spans="5:18" x14ac:dyDescent="0.25">
      <c r="E335" s="24"/>
      <c r="F335" s="24"/>
      <c r="G335" s="24"/>
      <c r="H335" s="24"/>
      <c r="L335" s="21"/>
      <c r="N335" s="26"/>
      <c r="O335" s="24"/>
      <c r="P335" s="24"/>
      <c r="Q335" s="26"/>
      <c r="R335" s="24"/>
    </row>
    <row r="336" spans="5:18" x14ac:dyDescent="0.25">
      <c r="E336" s="24"/>
      <c r="F336" s="24"/>
      <c r="G336" s="24"/>
      <c r="H336" s="24"/>
      <c r="L336" s="21"/>
      <c r="N336" s="26"/>
      <c r="O336" s="24"/>
      <c r="P336" s="24"/>
      <c r="Q336" s="26"/>
      <c r="R336" s="24"/>
    </row>
    <row r="337" spans="5:18" x14ac:dyDescent="0.25">
      <c r="E337" s="24"/>
      <c r="F337" s="24"/>
      <c r="G337" s="24"/>
      <c r="H337" s="24"/>
      <c r="L337" s="21"/>
      <c r="N337" s="26"/>
      <c r="O337" s="24"/>
      <c r="P337" s="24"/>
      <c r="Q337" s="26"/>
      <c r="R337" s="24"/>
    </row>
    <row r="338" spans="5:18" x14ac:dyDescent="0.25">
      <c r="E338" s="24"/>
      <c r="F338" s="24"/>
      <c r="G338" s="24"/>
      <c r="H338" s="24"/>
      <c r="L338" s="21"/>
      <c r="N338" s="26"/>
      <c r="O338" s="24"/>
      <c r="P338" s="24"/>
      <c r="Q338" s="26"/>
      <c r="R338" s="24"/>
    </row>
    <row r="339" spans="5:18" x14ac:dyDescent="0.25">
      <c r="E339" s="24"/>
      <c r="F339" s="24"/>
      <c r="G339" s="24"/>
      <c r="H339" s="24"/>
      <c r="L339" s="21"/>
      <c r="N339" s="26"/>
      <c r="O339" s="24"/>
      <c r="P339" s="24"/>
      <c r="Q339" s="26"/>
      <c r="R339" s="24"/>
    </row>
    <row r="340" spans="5:18" x14ac:dyDescent="0.25">
      <c r="E340" s="24"/>
      <c r="F340" s="24"/>
      <c r="G340" s="24"/>
      <c r="H340" s="24"/>
      <c r="L340" s="21"/>
      <c r="N340" s="26"/>
      <c r="O340" s="24"/>
      <c r="P340" s="24"/>
      <c r="Q340" s="26"/>
      <c r="R340" s="24"/>
    </row>
    <row r="341" spans="5:18" x14ac:dyDescent="0.25">
      <c r="E341" s="24"/>
      <c r="F341" s="24"/>
      <c r="G341" s="24"/>
      <c r="H341" s="24"/>
      <c r="L341" s="21"/>
      <c r="N341" s="26"/>
      <c r="O341" s="24"/>
      <c r="P341" s="24"/>
      <c r="Q341" s="26"/>
      <c r="R341" s="24"/>
    </row>
    <row r="342" spans="5:18" x14ac:dyDescent="0.25">
      <c r="E342" s="24"/>
      <c r="F342" s="24"/>
      <c r="G342" s="24"/>
      <c r="H342" s="24"/>
      <c r="L342" s="21"/>
      <c r="N342" s="26"/>
      <c r="O342" s="24"/>
      <c r="P342" s="24"/>
      <c r="Q342" s="26"/>
      <c r="R342" s="24"/>
    </row>
    <row r="343" spans="5:18" x14ac:dyDescent="0.25">
      <c r="E343" s="24"/>
      <c r="F343" s="24"/>
      <c r="G343" s="24"/>
      <c r="H343" s="24"/>
      <c r="L343" s="21"/>
      <c r="N343" s="26"/>
      <c r="O343" s="24"/>
      <c r="P343" s="24"/>
      <c r="Q343" s="26"/>
      <c r="R343" s="24"/>
    </row>
    <row r="344" spans="5:18" x14ac:dyDescent="0.25">
      <c r="E344" s="24"/>
      <c r="F344" s="24"/>
      <c r="G344" s="24"/>
      <c r="H344" s="24"/>
      <c r="L344" s="21"/>
      <c r="N344" s="26"/>
      <c r="O344" s="24"/>
      <c r="P344" s="24"/>
      <c r="Q344" s="26"/>
      <c r="R344" s="24"/>
    </row>
    <row r="345" spans="5:18" x14ac:dyDescent="0.25">
      <c r="E345" s="24"/>
      <c r="F345" s="24"/>
      <c r="G345" s="24"/>
      <c r="H345" s="24"/>
      <c r="L345" s="21"/>
      <c r="N345" s="26"/>
      <c r="O345" s="24"/>
      <c r="P345" s="24"/>
      <c r="Q345" s="26"/>
      <c r="R345" s="24"/>
    </row>
    <row r="346" spans="5:18" x14ac:dyDescent="0.25">
      <c r="E346" s="24"/>
      <c r="F346" s="24"/>
      <c r="G346" s="24"/>
      <c r="H346" s="24"/>
      <c r="L346" s="21"/>
      <c r="N346" s="26"/>
      <c r="O346" s="24"/>
      <c r="P346" s="24"/>
      <c r="Q346" s="26"/>
      <c r="R346" s="24"/>
    </row>
    <row r="347" spans="5:18" x14ac:dyDescent="0.25">
      <c r="E347" s="24"/>
      <c r="F347" s="24"/>
      <c r="G347" s="24"/>
      <c r="H347" s="24"/>
      <c r="L347" s="21"/>
      <c r="N347" s="26"/>
      <c r="O347" s="24"/>
      <c r="P347" s="24"/>
      <c r="Q347" s="26"/>
      <c r="R347" s="24"/>
    </row>
    <row r="348" spans="5:18" x14ac:dyDescent="0.25">
      <c r="E348" s="24"/>
      <c r="F348" s="24"/>
      <c r="G348" s="24"/>
      <c r="H348" s="24"/>
      <c r="L348" s="21"/>
      <c r="N348" s="26"/>
      <c r="O348" s="24"/>
      <c r="P348" s="24"/>
      <c r="Q348" s="26"/>
      <c r="R348" s="24"/>
    </row>
    <row r="349" spans="5:18" x14ac:dyDescent="0.25">
      <c r="E349" s="24"/>
      <c r="F349" s="24"/>
      <c r="G349" s="24"/>
      <c r="H349" s="24"/>
      <c r="L349" s="21"/>
      <c r="N349" s="26"/>
      <c r="O349" s="24"/>
      <c r="P349" s="24"/>
      <c r="Q349" s="26"/>
      <c r="R349" s="24"/>
    </row>
    <row r="350" spans="5:18" x14ac:dyDescent="0.25">
      <c r="E350" s="24"/>
      <c r="F350" s="24"/>
      <c r="G350" s="24"/>
      <c r="H350" s="24"/>
      <c r="L350" s="21"/>
      <c r="N350" s="26"/>
      <c r="O350" s="24"/>
      <c r="P350" s="24"/>
      <c r="Q350" s="26"/>
      <c r="R350" s="24"/>
    </row>
    <row r="351" spans="5:18" x14ac:dyDescent="0.25">
      <c r="E351" s="24"/>
      <c r="F351" s="24"/>
      <c r="G351" s="24"/>
      <c r="H351" s="24"/>
      <c r="L351" s="21"/>
      <c r="N351" s="26"/>
      <c r="O351" s="24"/>
      <c r="P351" s="24"/>
      <c r="Q351" s="26"/>
      <c r="R351" s="24"/>
    </row>
    <row r="352" spans="5:18" x14ac:dyDescent="0.25">
      <c r="E352" s="24"/>
      <c r="F352" s="24"/>
      <c r="G352" s="24"/>
      <c r="H352" s="24"/>
      <c r="L352" s="21"/>
      <c r="N352" s="26"/>
      <c r="O352" s="24"/>
      <c r="P352" s="24"/>
      <c r="Q352" s="26"/>
      <c r="R352" s="24"/>
    </row>
    <row r="353" spans="5:18" x14ac:dyDescent="0.25">
      <c r="E353" s="24"/>
      <c r="F353" s="24"/>
      <c r="G353" s="24"/>
      <c r="H353" s="24"/>
      <c r="L353" s="21"/>
      <c r="N353" s="26"/>
      <c r="O353" s="24"/>
      <c r="P353" s="24"/>
      <c r="Q353" s="26"/>
      <c r="R353" s="24"/>
    </row>
    <row r="354" spans="5:18" x14ac:dyDescent="0.25">
      <c r="E354" s="24"/>
      <c r="F354" s="24"/>
      <c r="G354" s="24"/>
      <c r="H354" s="24"/>
      <c r="L354" s="21"/>
      <c r="N354" s="26"/>
      <c r="O354" s="24"/>
      <c r="P354" s="24"/>
      <c r="Q354" s="26"/>
      <c r="R354" s="24"/>
    </row>
    <row r="355" spans="5:18" x14ac:dyDescent="0.25">
      <c r="E355" s="24"/>
      <c r="F355" s="24"/>
      <c r="G355" s="24"/>
      <c r="H355" s="24"/>
      <c r="L355" s="21"/>
      <c r="N355" s="26"/>
      <c r="O355" s="24"/>
      <c r="P355" s="24"/>
      <c r="Q355" s="26"/>
      <c r="R355" s="24"/>
    </row>
    <row r="356" spans="5:18" x14ac:dyDescent="0.25">
      <c r="E356" s="24"/>
      <c r="F356" s="24"/>
      <c r="G356" s="24"/>
      <c r="H356" s="24"/>
      <c r="L356" s="21"/>
      <c r="N356" s="26"/>
      <c r="O356" s="24"/>
      <c r="P356" s="24"/>
      <c r="Q356" s="26"/>
      <c r="R356" s="24"/>
    </row>
    <row r="357" spans="5:18" x14ac:dyDescent="0.25">
      <c r="E357" s="24"/>
      <c r="F357" s="24"/>
      <c r="G357" s="24"/>
      <c r="H357" s="24"/>
      <c r="L357" s="21"/>
      <c r="N357" s="26"/>
      <c r="O357" s="24"/>
      <c r="P357" s="24"/>
      <c r="Q357" s="26"/>
      <c r="R357" s="24"/>
    </row>
    <row r="358" spans="5:18" x14ac:dyDescent="0.25">
      <c r="E358" s="24"/>
      <c r="F358" s="24"/>
      <c r="G358" s="24"/>
      <c r="H358" s="24"/>
      <c r="L358" s="21"/>
      <c r="N358" s="26"/>
      <c r="O358" s="24"/>
      <c r="P358" s="24"/>
      <c r="Q358" s="26"/>
      <c r="R358" s="24"/>
    </row>
    <row r="359" spans="5:18" x14ac:dyDescent="0.25">
      <c r="E359" s="24"/>
      <c r="F359" s="24"/>
      <c r="G359" s="24"/>
      <c r="H359" s="24"/>
      <c r="L359" s="21"/>
      <c r="N359" s="26"/>
      <c r="O359" s="24"/>
      <c r="P359" s="24"/>
      <c r="Q359" s="26"/>
      <c r="R359" s="24"/>
    </row>
    <row r="360" spans="5:18" x14ac:dyDescent="0.25">
      <c r="E360" s="24"/>
      <c r="F360" s="24"/>
      <c r="G360" s="24"/>
      <c r="H360" s="24"/>
      <c r="L360" s="21"/>
      <c r="N360" s="26"/>
      <c r="O360" s="24"/>
      <c r="P360" s="24"/>
      <c r="Q360" s="26"/>
      <c r="R360" s="24"/>
    </row>
    <row r="361" spans="5:18" x14ac:dyDescent="0.25">
      <c r="E361" s="24"/>
      <c r="F361" s="24"/>
      <c r="G361" s="24"/>
      <c r="H361" s="24"/>
      <c r="L361" s="21"/>
      <c r="N361" s="26"/>
      <c r="O361" s="24"/>
      <c r="P361" s="24"/>
      <c r="Q361" s="26"/>
      <c r="R361" s="24"/>
    </row>
    <row r="362" spans="5:18" x14ac:dyDescent="0.25">
      <c r="E362" s="24"/>
      <c r="F362" s="24"/>
      <c r="G362" s="24"/>
      <c r="H362" s="24"/>
      <c r="L362" s="21"/>
      <c r="N362" s="26"/>
      <c r="O362" s="24"/>
      <c r="P362" s="24"/>
      <c r="Q362" s="26"/>
      <c r="R362" s="24"/>
    </row>
    <row r="363" spans="5:18" x14ac:dyDescent="0.25">
      <c r="E363" s="24"/>
      <c r="F363" s="24"/>
      <c r="G363" s="24"/>
      <c r="H363" s="24"/>
      <c r="L363" s="21"/>
      <c r="N363" s="26"/>
      <c r="O363" s="24"/>
      <c r="P363" s="24"/>
      <c r="Q363" s="26"/>
      <c r="R363" s="24"/>
    </row>
    <row r="364" spans="5:18" x14ac:dyDescent="0.25">
      <c r="E364" s="24"/>
      <c r="F364" s="24"/>
      <c r="G364" s="24"/>
      <c r="H364" s="24"/>
      <c r="L364" s="21"/>
      <c r="N364" s="26"/>
      <c r="O364" s="24"/>
      <c r="P364" s="24"/>
      <c r="Q364" s="26"/>
      <c r="R364" s="24"/>
    </row>
    <row r="365" spans="5:18" x14ac:dyDescent="0.25">
      <c r="E365" s="24"/>
      <c r="F365" s="24"/>
      <c r="G365" s="24"/>
      <c r="H365" s="24"/>
      <c r="L365" s="21"/>
      <c r="N365" s="26"/>
      <c r="O365" s="24"/>
      <c r="P365" s="24"/>
      <c r="Q365" s="26"/>
      <c r="R365" s="24"/>
    </row>
    <row r="366" spans="5:18" x14ac:dyDescent="0.25">
      <c r="E366" s="24"/>
      <c r="F366" s="24"/>
      <c r="G366" s="24"/>
      <c r="H366" s="24"/>
      <c r="L366" s="21"/>
      <c r="N366" s="26"/>
      <c r="O366" s="24"/>
      <c r="P366" s="24"/>
      <c r="Q366" s="26"/>
      <c r="R366" s="24"/>
    </row>
    <row r="367" spans="5:18" x14ac:dyDescent="0.25">
      <c r="E367" s="24"/>
      <c r="F367" s="24"/>
      <c r="G367" s="24"/>
      <c r="H367" s="24"/>
      <c r="L367" s="21"/>
      <c r="N367" s="26"/>
      <c r="O367" s="24"/>
      <c r="P367" s="24"/>
      <c r="Q367" s="26"/>
      <c r="R367" s="24"/>
    </row>
    <row r="368" spans="5:18" x14ac:dyDescent="0.25">
      <c r="E368" s="24"/>
      <c r="F368" s="24"/>
      <c r="G368" s="24"/>
      <c r="H368" s="24"/>
      <c r="L368" s="21"/>
      <c r="N368" s="26"/>
      <c r="O368" s="24"/>
      <c r="P368" s="24"/>
      <c r="Q368" s="26"/>
      <c r="R368" s="24"/>
    </row>
    <row r="369" spans="5:18" x14ac:dyDescent="0.25">
      <c r="E369" s="24"/>
      <c r="F369" s="24"/>
      <c r="G369" s="24"/>
      <c r="H369" s="24"/>
      <c r="L369" s="21"/>
      <c r="N369" s="26"/>
      <c r="O369" s="24"/>
      <c r="P369" s="24"/>
      <c r="Q369" s="26"/>
      <c r="R369" s="24"/>
    </row>
    <row r="370" spans="5:18" x14ac:dyDescent="0.25">
      <c r="E370" s="24"/>
      <c r="F370" s="24"/>
      <c r="G370" s="24"/>
      <c r="H370" s="24"/>
      <c r="L370" s="21"/>
      <c r="N370" s="26"/>
      <c r="O370" s="24"/>
      <c r="P370" s="24"/>
      <c r="Q370" s="26"/>
      <c r="R370" s="24"/>
    </row>
    <row r="371" spans="5:18" x14ac:dyDescent="0.25">
      <c r="E371" s="24"/>
      <c r="F371" s="24"/>
      <c r="G371" s="24"/>
      <c r="H371" s="24"/>
      <c r="L371" s="21"/>
      <c r="N371" s="26"/>
      <c r="O371" s="24"/>
      <c r="P371" s="24"/>
      <c r="Q371" s="26"/>
      <c r="R371" s="24"/>
    </row>
    <row r="372" spans="5:18" x14ac:dyDescent="0.25">
      <c r="E372" s="24"/>
      <c r="F372" s="24"/>
      <c r="G372" s="24"/>
      <c r="H372" s="24"/>
      <c r="L372" s="21"/>
      <c r="N372" s="26"/>
      <c r="O372" s="24"/>
      <c r="P372" s="24"/>
      <c r="Q372" s="26"/>
      <c r="R372" s="24"/>
    </row>
    <row r="373" spans="5:18" x14ac:dyDescent="0.25">
      <c r="E373" s="24"/>
      <c r="F373" s="24"/>
      <c r="G373" s="24"/>
      <c r="H373" s="24"/>
      <c r="L373" s="21"/>
      <c r="N373" s="26"/>
      <c r="O373" s="24"/>
      <c r="P373" s="24"/>
      <c r="Q373" s="26"/>
      <c r="R373" s="24"/>
    </row>
    <row r="374" spans="5:18" x14ac:dyDescent="0.25">
      <c r="E374" s="24"/>
      <c r="F374" s="24"/>
      <c r="G374" s="24"/>
      <c r="H374" s="24"/>
      <c r="L374" s="21"/>
      <c r="N374" s="26"/>
      <c r="O374" s="24"/>
      <c r="P374" s="24"/>
      <c r="Q374" s="26"/>
      <c r="R374" s="24"/>
    </row>
    <row r="375" spans="5:18" x14ac:dyDescent="0.25">
      <c r="E375" s="24"/>
      <c r="F375" s="24"/>
      <c r="G375" s="24"/>
      <c r="H375" s="24"/>
      <c r="L375" s="21"/>
      <c r="N375" s="26"/>
      <c r="O375" s="24"/>
      <c r="P375" s="24"/>
      <c r="Q375" s="26"/>
      <c r="R375" s="24"/>
    </row>
    <row r="376" spans="5:18" x14ac:dyDescent="0.25">
      <c r="E376" s="24"/>
      <c r="F376" s="24"/>
      <c r="G376" s="24"/>
      <c r="H376" s="24"/>
      <c r="L376" s="21"/>
      <c r="N376" s="26"/>
      <c r="O376" s="24"/>
      <c r="P376" s="24"/>
      <c r="Q376" s="26"/>
      <c r="R376" s="24"/>
    </row>
    <row r="377" spans="5:18" x14ac:dyDescent="0.25">
      <c r="E377" s="24"/>
      <c r="F377" s="24"/>
      <c r="G377" s="24"/>
      <c r="H377" s="24"/>
      <c r="L377" s="21"/>
      <c r="N377" s="26"/>
      <c r="O377" s="24"/>
      <c r="P377" s="24"/>
      <c r="Q377" s="26"/>
      <c r="R377" s="24"/>
    </row>
    <row r="378" spans="5:18" x14ac:dyDescent="0.25">
      <c r="E378" s="24"/>
      <c r="F378" s="24"/>
      <c r="G378" s="24"/>
      <c r="H378" s="24"/>
      <c r="L378" s="21"/>
      <c r="N378" s="26"/>
      <c r="O378" s="24"/>
      <c r="P378" s="24"/>
      <c r="Q378" s="26"/>
      <c r="R378" s="24"/>
    </row>
    <row r="379" spans="5:18" x14ac:dyDescent="0.25">
      <c r="E379" s="24"/>
      <c r="F379" s="24"/>
      <c r="G379" s="24"/>
      <c r="H379" s="24"/>
      <c r="L379" s="21"/>
      <c r="N379" s="26"/>
      <c r="O379" s="24"/>
      <c r="P379" s="24"/>
      <c r="Q379" s="26"/>
      <c r="R379" s="24"/>
    </row>
    <row r="380" spans="5:18" x14ac:dyDescent="0.25">
      <c r="E380" s="24"/>
      <c r="F380" s="24"/>
      <c r="G380" s="24"/>
      <c r="H380" s="24"/>
      <c r="L380" s="21"/>
      <c r="N380" s="26"/>
      <c r="O380" s="24"/>
      <c r="P380" s="24"/>
      <c r="Q380" s="26"/>
      <c r="R380" s="24"/>
    </row>
    <row r="381" spans="5:18" x14ac:dyDescent="0.25">
      <c r="E381" s="24"/>
      <c r="F381" s="24"/>
      <c r="G381" s="24"/>
      <c r="H381" s="24"/>
      <c r="L381" s="21"/>
      <c r="N381" s="26"/>
      <c r="O381" s="24"/>
      <c r="P381" s="24"/>
      <c r="Q381" s="26"/>
      <c r="R381" s="24"/>
    </row>
    <row r="382" spans="5:18" x14ac:dyDescent="0.25">
      <c r="E382" s="24"/>
      <c r="F382" s="24"/>
      <c r="G382" s="24"/>
      <c r="H382" s="24"/>
      <c r="L382" s="21"/>
      <c r="N382" s="26"/>
      <c r="O382" s="24"/>
      <c r="P382" s="24"/>
      <c r="Q382" s="26"/>
      <c r="R382" s="24"/>
    </row>
    <row r="383" spans="5:18" x14ac:dyDescent="0.25">
      <c r="E383" s="24"/>
      <c r="F383" s="24"/>
      <c r="G383" s="24"/>
      <c r="H383" s="24"/>
      <c r="L383" s="21"/>
      <c r="N383" s="26"/>
      <c r="O383" s="24"/>
      <c r="P383" s="24"/>
      <c r="Q383" s="26"/>
      <c r="R383" s="24"/>
    </row>
    <row r="384" spans="5:18" x14ac:dyDescent="0.25">
      <c r="E384" s="24"/>
      <c r="F384" s="24"/>
      <c r="G384" s="24"/>
      <c r="H384" s="24"/>
      <c r="L384" s="21"/>
      <c r="N384" s="26"/>
      <c r="O384" s="24"/>
      <c r="P384" s="24"/>
      <c r="Q384" s="26"/>
      <c r="R384" s="24"/>
    </row>
    <row r="385" spans="5:18" x14ac:dyDescent="0.25">
      <c r="E385" s="24"/>
      <c r="F385" s="24"/>
      <c r="G385" s="24"/>
      <c r="H385" s="24"/>
      <c r="L385" s="21"/>
      <c r="N385" s="26"/>
      <c r="O385" s="24"/>
      <c r="P385" s="24"/>
      <c r="Q385" s="26"/>
      <c r="R385" s="24"/>
    </row>
    <row r="386" spans="5:18" x14ac:dyDescent="0.25">
      <c r="E386" s="24"/>
      <c r="F386" s="24"/>
      <c r="G386" s="24"/>
      <c r="H386" s="24"/>
      <c r="L386" s="21"/>
      <c r="N386" s="26"/>
      <c r="O386" s="24"/>
      <c r="P386" s="24"/>
      <c r="Q386" s="26"/>
      <c r="R386" s="24"/>
    </row>
    <row r="387" spans="5:18" x14ac:dyDescent="0.25">
      <c r="E387" s="24"/>
      <c r="F387" s="24"/>
      <c r="G387" s="24"/>
      <c r="H387" s="24"/>
      <c r="L387" s="21"/>
      <c r="N387" s="26"/>
      <c r="O387" s="24"/>
      <c r="P387" s="24"/>
      <c r="Q387" s="26"/>
      <c r="R387" s="24"/>
    </row>
    <row r="388" spans="5:18" x14ac:dyDescent="0.25">
      <c r="E388" s="24"/>
      <c r="F388" s="24"/>
      <c r="G388" s="24"/>
      <c r="H388" s="24"/>
      <c r="L388" s="21"/>
      <c r="N388" s="26"/>
      <c r="O388" s="24"/>
      <c r="P388" s="24"/>
      <c r="Q388" s="26"/>
      <c r="R388" s="24"/>
    </row>
    <row r="389" spans="5:18" x14ac:dyDescent="0.25">
      <c r="E389" s="24"/>
      <c r="F389" s="24"/>
      <c r="G389" s="24"/>
      <c r="H389" s="24"/>
      <c r="L389" s="21"/>
      <c r="N389" s="26"/>
      <c r="O389" s="24"/>
      <c r="P389" s="24"/>
      <c r="Q389" s="26"/>
      <c r="R389" s="24"/>
    </row>
    <row r="390" spans="5:18" x14ac:dyDescent="0.25">
      <c r="E390" s="24"/>
      <c r="F390" s="24"/>
      <c r="G390" s="24"/>
      <c r="H390" s="24"/>
      <c r="L390" s="21"/>
      <c r="N390" s="26"/>
      <c r="O390" s="24"/>
      <c r="P390" s="24"/>
      <c r="Q390" s="26"/>
      <c r="R390" s="24"/>
    </row>
    <row r="391" spans="5:18" x14ac:dyDescent="0.25">
      <c r="E391" s="24"/>
      <c r="F391" s="24"/>
      <c r="G391" s="24"/>
      <c r="H391" s="24"/>
      <c r="L391" s="21"/>
      <c r="N391" s="26"/>
      <c r="O391" s="24"/>
      <c r="P391" s="24"/>
      <c r="Q391" s="26"/>
      <c r="R391" s="24"/>
    </row>
    <row r="392" spans="5:18" x14ac:dyDescent="0.25">
      <c r="E392" s="24"/>
      <c r="F392" s="24"/>
      <c r="G392" s="24"/>
      <c r="H392" s="24"/>
      <c r="L392" s="21"/>
      <c r="N392" s="26"/>
      <c r="O392" s="24"/>
      <c r="P392" s="24"/>
      <c r="Q392" s="26"/>
      <c r="R392" s="24"/>
    </row>
    <row r="393" spans="5:18" x14ac:dyDescent="0.25">
      <c r="E393" s="24"/>
      <c r="F393" s="24"/>
      <c r="G393" s="24"/>
      <c r="H393" s="24"/>
      <c r="L393" s="21"/>
      <c r="N393" s="26"/>
      <c r="O393" s="24"/>
      <c r="P393" s="24"/>
      <c r="Q393" s="26"/>
      <c r="R393" s="24"/>
    </row>
    <row r="394" spans="5:18" x14ac:dyDescent="0.25">
      <c r="E394" s="24"/>
      <c r="F394" s="24"/>
      <c r="G394" s="24"/>
      <c r="H394" s="24"/>
      <c r="L394" s="21"/>
      <c r="N394" s="26"/>
      <c r="O394" s="24"/>
      <c r="P394" s="24"/>
      <c r="Q394" s="26"/>
      <c r="R394" s="24"/>
    </row>
    <row r="395" spans="5:18" x14ac:dyDescent="0.25">
      <c r="E395" s="24"/>
      <c r="F395" s="24"/>
      <c r="G395" s="24"/>
      <c r="H395" s="24"/>
      <c r="L395" s="21"/>
      <c r="N395" s="26"/>
      <c r="O395" s="24"/>
      <c r="P395" s="24"/>
      <c r="Q395" s="26"/>
      <c r="R395" s="24"/>
    </row>
    <row r="396" spans="5:18" x14ac:dyDescent="0.25">
      <c r="E396" s="24"/>
      <c r="F396" s="24"/>
      <c r="G396" s="24"/>
      <c r="H396" s="24"/>
      <c r="L396" s="21"/>
      <c r="N396" s="26"/>
      <c r="O396" s="24"/>
      <c r="P396" s="24"/>
      <c r="Q396" s="26"/>
      <c r="R396" s="24"/>
    </row>
    <row r="397" spans="5:18" x14ac:dyDescent="0.25">
      <c r="E397" s="24"/>
      <c r="F397" s="24"/>
      <c r="G397" s="24"/>
      <c r="H397" s="24"/>
      <c r="L397" s="21"/>
      <c r="N397" s="26"/>
      <c r="O397" s="24"/>
      <c r="P397" s="24"/>
      <c r="Q397" s="26"/>
      <c r="R397" s="24"/>
    </row>
    <row r="398" spans="5:18" x14ac:dyDescent="0.25">
      <c r="E398" s="24"/>
      <c r="F398" s="24"/>
      <c r="G398" s="24"/>
      <c r="H398" s="24"/>
      <c r="L398" s="21"/>
      <c r="N398" s="26"/>
      <c r="O398" s="24"/>
      <c r="P398" s="24"/>
      <c r="Q398" s="26"/>
      <c r="R398" s="24"/>
    </row>
    <row r="399" spans="5:18" x14ac:dyDescent="0.25">
      <c r="E399" s="24"/>
      <c r="F399" s="24"/>
      <c r="G399" s="24"/>
      <c r="H399" s="24"/>
      <c r="L399" s="21"/>
      <c r="N399" s="26"/>
      <c r="O399" s="24"/>
      <c r="P399" s="24"/>
      <c r="Q399" s="26"/>
      <c r="R399" s="24"/>
    </row>
    <row r="400" spans="5:18" x14ac:dyDescent="0.25">
      <c r="E400" s="24"/>
      <c r="F400" s="24"/>
      <c r="G400" s="24"/>
      <c r="H400" s="24"/>
      <c r="L400" s="21"/>
      <c r="N400" s="26"/>
      <c r="O400" s="24"/>
      <c r="P400" s="24"/>
      <c r="Q400" s="26"/>
      <c r="R400" s="24"/>
    </row>
    <row r="401" spans="5:18" x14ac:dyDescent="0.25">
      <c r="E401" s="24"/>
      <c r="F401" s="24"/>
      <c r="G401" s="24"/>
      <c r="H401" s="24"/>
      <c r="L401" s="21"/>
      <c r="N401" s="26"/>
      <c r="O401" s="24"/>
      <c r="P401" s="24"/>
      <c r="Q401" s="26"/>
      <c r="R401" s="24"/>
    </row>
    <row r="402" spans="5:18" x14ac:dyDescent="0.25">
      <c r="E402" s="24"/>
      <c r="F402" s="24"/>
      <c r="G402" s="24"/>
      <c r="H402" s="24"/>
      <c r="L402" s="21"/>
      <c r="N402" s="26"/>
      <c r="O402" s="24"/>
      <c r="P402" s="24"/>
      <c r="Q402" s="26"/>
      <c r="R402" s="24"/>
    </row>
    <row r="403" spans="5:18" x14ac:dyDescent="0.25">
      <c r="E403" s="24"/>
      <c r="F403" s="24"/>
      <c r="G403" s="24"/>
      <c r="H403" s="24"/>
      <c r="L403" s="21"/>
      <c r="N403" s="26"/>
      <c r="O403" s="24"/>
      <c r="P403" s="24"/>
      <c r="Q403" s="26"/>
      <c r="R403" s="24"/>
    </row>
    <row r="404" spans="5:18" x14ac:dyDescent="0.25">
      <c r="E404" s="24"/>
      <c r="F404" s="24"/>
      <c r="G404" s="24"/>
      <c r="H404" s="24"/>
      <c r="L404" s="21"/>
      <c r="N404" s="26"/>
      <c r="O404" s="24"/>
      <c r="P404" s="24"/>
      <c r="Q404" s="26"/>
      <c r="R404" s="24"/>
    </row>
    <row r="405" spans="5:18" x14ac:dyDescent="0.25">
      <c r="E405" s="24"/>
      <c r="F405" s="24"/>
      <c r="G405" s="24"/>
      <c r="H405" s="24"/>
      <c r="L405" s="21"/>
      <c r="N405" s="26"/>
      <c r="O405" s="24"/>
      <c r="P405" s="24"/>
      <c r="Q405" s="26"/>
      <c r="R405" s="24"/>
    </row>
    <row r="406" spans="5:18" x14ac:dyDescent="0.25">
      <c r="E406" s="24"/>
      <c r="F406" s="24"/>
      <c r="G406" s="24"/>
      <c r="H406" s="24"/>
      <c r="L406" s="21"/>
      <c r="N406" s="26"/>
      <c r="O406" s="24"/>
      <c r="P406" s="24"/>
      <c r="Q406" s="26"/>
      <c r="R406" s="24"/>
    </row>
    <row r="407" spans="5:18" x14ac:dyDescent="0.25">
      <c r="E407" s="24"/>
      <c r="F407" s="24"/>
      <c r="G407" s="24"/>
      <c r="H407" s="24"/>
      <c r="L407" s="21"/>
      <c r="N407" s="26"/>
      <c r="O407" s="24"/>
      <c r="P407" s="24"/>
      <c r="Q407" s="26"/>
      <c r="R407" s="24"/>
    </row>
    <row r="408" spans="5:18" x14ac:dyDescent="0.25">
      <c r="E408" s="24"/>
      <c r="F408" s="24"/>
      <c r="G408" s="24"/>
      <c r="H408" s="24"/>
      <c r="L408" s="21"/>
      <c r="N408" s="26"/>
      <c r="O408" s="24"/>
      <c r="P408" s="24"/>
      <c r="Q408" s="26"/>
      <c r="R408" s="24"/>
    </row>
    <row r="409" spans="5:18" x14ac:dyDescent="0.25">
      <c r="E409" s="24"/>
      <c r="F409" s="24"/>
      <c r="G409" s="24"/>
      <c r="H409" s="24"/>
      <c r="L409" s="21"/>
      <c r="N409" s="26"/>
      <c r="O409" s="24"/>
      <c r="P409" s="24"/>
      <c r="Q409" s="26"/>
      <c r="R409" s="24"/>
    </row>
    <row r="410" spans="5:18" x14ac:dyDescent="0.25">
      <c r="E410" s="24"/>
      <c r="F410" s="24"/>
      <c r="G410" s="24"/>
      <c r="H410" s="24"/>
      <c r="L410" s="21"/>
      <c r="N410" s="26"/>
      <c r="O410" s="24"/>
      <c r="P410" s="24"/>
      <c r="Q410" s="26"/>
      <c r="R410" s="24"/>
    </row>
    <row r="411" spans="5:18" x14ac:dyDescent="0.25">
      <c r="E411" s="24"/>
      <c r="F411" s="24"/>
      <c r="G411" s="24"/>
      <c r="H411" s="24"/>
      <c r="L411" s="21"/>
      <c r="N411" s="26"/>
      <c r="O411" s="24"/>
      <c r="P411" s="24"/>
      <c r="Q411" s="26"/>
      <c r="R411" s="24"/>
    </row>
    <row r="412" spans="5:18" x14ac:dyDescent="0.25">
      <c r="E412" s="24"/>
      <c r="F412" s="24"/>
      <c r="G412" s="24"/>
      <c r="H412" s="24"/>
      <c r="L412" s="21"/>
      <c r="N412" s="26"/>
      <c r="O412" s="24"/>
      <c r="P412" s="24"/>
      <c r="Q412" s="26"/>
      <c r="R412" s="24"/>
    </row>
    <row r="413" spans="5:18" x14ac:dyDescent="0.25">
      <c r="E413" s="24"/>
      <c r="F413" s="24"/>
      <c r="G413" s="24"/>
      <c r="H413" s="24"/>
      <c r="L413" s="21"/>
      <c r="N413" s="26"/>
      <c r="O413" s="24"/>
      <c r="P413" s="24"/>
      <c r="Q413" s="26"/>
      <c r="R413" s="24"/>
    </row>
    <row r="414" spans="5:18" x14ac:dyDescent="0.25">
      <c r="E414" s="24"/>
      <c r="F414" s="24"/>
      <c r="G414" s="24"/>
      <c r="H414" s="24"/>
      <c r="L414" s="21"/>
      <c r="N414" s="26"/>
      <c r="O414" s="24"/>
      <c r="P414" s="24"/>
      <c r="Q414" s="26"/>
      <c r="R414" s="24"/>
    </row>
    <row r="415" spans="5:18" x14ac:dyDescent="0.25">
      <c r="E415" s="24"/>
      <c r="F415" s="24"/>
      <c r="G415" s="24"/>
      <c r="H415" s="24"/>
      <c r="L415" s="21"/>
      <c r="N415" s="26"/>
      <c r="O415" s="24"/>
      <c r="P415" s="24"/>
      <c r="Q415" s="26"/>
      <c r="R415" s="24"/>
    </row>
    <row r="416" spans="5:18" x14ac:dyDescent="0.25">
      <c r="E416" s="24"/>
      <c r="F416" s="24"/>
      <c r="G416" s="24"/>
      <c r="H416" s="24"/>
      <c r="L416" s="21"/>
      <c r="N416" s="26"/>
      <c r="O416" s="24"/>
      <c r="P416" s="24"/>
      <c r="Q416" s="26"/>
      <c r="R416" s="24"/>
    </row>
    <row r="417" spans="5:18" x14ac:dyDescent="0.25">
      <c r="E417" s="24"/>
      <c r="F417" s="24"/>
      <c r="G417" s="24"/>
      <c r="H417" s="24"/>
      <c r="L417" s="21"/>
      <c r="N417" s="26"/>
      <c r="O417" s="24"/>
      <c r="P417" s="24"/>
      <c r="Q417" s="26"/>
      <c r="R417" s="24"/>
    </row>
    <row r="418" spans="5:18" x14ac:dyDescent="0.25">
      <c r="E418" s="24"/>
      <c r="F418" s="24"/>
      <c r="G418" s="24"/>
      <c r="H418" s="24"/>
      <c r="L418" s="21"/>
      <c r="N418" s="26"/>
      <c r="O418" s="24"/>
      <c r="P418" s="24"/>
      <c r="Q418" s="26"/>
      <c r="R418" s="24"/>
    </row>
    <row r="419" spans="5:18" x14ac:dyDescent="0.25">
      <c r="E419" s="24"/>
      <c r="F419" s="24"/>
      <c r="G419" s="24"/>
      <c r="H419" s="24"/>
      <c r="L419" s="21"/>
      <c r="N419" s="26"/>
      <c r="O419" s="24"/>
      <c r="P419" s="24"/>
      <c r="Q419" s="26"/>
      <c r="R419" s="24"/>
    </row>
    <row r="420" spans="5:18" x14ac:dyDescent="0.25">
      <c r="E420" s="24"/>
      <c r="F420" s="24"/>
      <c r="G420" s="24"/>
      <c r="H420" s="24"/>
      <c r="L420" s="21"/>
      <c r="N420" s="26"/>
      <c r="O420" s="24"/>
      <c r="P420" s="24"/>
      <c r="Q420" s="26"/>
      <c r="R420" s="24"/>
    </row>
    <row r="421" spans="5:18" x14ac:dyDescent="0.25">
      <c r="E421" s="24"/>
      <c r="F421" s="24"/>
      <c r="G421" s="24"/>
      <c r="H421" s="24"/>
      <c r="L421" s="21"/>
      <c r="N421" s="26"/>
      <c r="O421" s="24"/>
      <c r="P421" s="24"/>
      <c r="Q421" s="26"/>
      <c r="R421" s="24"/>
    </row>
    <row r="422" spans="5:18" x14ac:dyDescent="0.25">
      <c r="E422" s="24"/>
      <c r="F422" s="24"/>
      <c r="G422" s="24"/>
      <c r="H422" s="24"/>
      <c r="L422" s="21"/>
      <c r="N422" s="26"/>
      <c r="O422" s="24"/>
      <c r="P422" s="24"/>
      <c r="Q422" s="26"/>
      <c r="R422" s="24"/>
    </row>
    <row r="423" spans="5:18" x14ac:dyDescent="0.25">
      <c r="E423" s="24"/>
      <c r="F423" s="24"/>
      <c r="G423" s="24"/>
      <c r="H423" s="24"/>
      <c r="L423" s="21"/>
      <c r="N423" s="26"/>
      <c r="O423" s="24"/>
      <c r="P423" s="24"/>
      <c r="Q423" s="26"/>
      <c r="R423" s="24"/>
    </row>
    <row r="424" spans="5:18" x14ac:dyDescent="0.25">
      <c r="E424" s="24"/>
      <c r="F424" s="24"/>
      <c r="G424" s="24"/>
      <c r="H424" s="24"/>
      <c r="L424" s="21"/>
      <c r="N424" s="26"/>
      <c r="O424" s="24"/>
      <c r="P424" s="24"/>
      <c r="Q424" s="26"/>
      <c r="R424" s="24"/>
    </row>
    <row r="425" spans="5:18" x14ac:dyDescent="0.25">
      <c r="E425" s="24"/>
      <c r="F425" s="24"/>
      <c r="G425" s="24"/>
      <c r="H425" s="24"/>
      <c r="L425" s="21"/>
      <c r="N425" s="26"/>
      <c r="O425" s="24"/>
      <c r="P425" s="24"/>
      <c r="Q425" s="26"/>
      <c r="R425" s="24"/>
    </row>
    <row r="426" spans="5:18" x14ac:dyDescent="0.25">
      <c r="E426" s="24"/>
      <c r="F426" s="24"/>
      <c r="G426" s="24"/>
      <c r="H426" s="24"/>
      <c r="L426" s="21"/>
      <c r="N426" s="26"/>
      <c r="O426" s="24"/>
      <c r="P426" s="24"/>
      <c r="Q426" s="26"/>
      <c r="R426" s="24"/>
    </row>
    <row r="427" spans="5:18" x14ac:dyDescent="0.25">
      <c r="E427" s="24"/>
      <c r="F427" s="24"/>
      <c r="G427" s="24"/>
      <c r="H427" s="24"/>
      <c r="L427" s="21"/>
      <c r="N427" s="26"/>
      <c r="O427" s="24"/>
      <c r="P427" s="24"/>
      <c r="Q427" s="26"/>
      <c r="R427" s="24"/>
    </row>
    <row r="428" spans="5:18" x14ac:dyDescent="0.25">
      <c r="E428" s="24"/>
      <c r="F428" s="24"/>
      <c r="G428" s="24"/>
      <c r="H428" s="24"/>
      <c r="L428" s="21"/>
      <c r="N428" s="26"/>
      <c r="O428" s="24"/>
      <c r="P428" s="24"/>
      <c r="Q428" s="26"/>
      <c r="R428" s="24"/>
    </row>
    <row r="429" spans="5:18" x14ac:dyDescent="0.25">
      <c r="E429" s="24"/>
      <c r="F429" s="24"/>
      <c r="G429" s="24"/>
      <c r="H429" s="24"/>
      <c r="L429" s="21"/>
      <c r="N429" s="26"/>
      <c r="O429" s="24"/>
      <c r="P429" s="24"/>
      <c r="Q429" s="26"/>
      <c r="R429" s="24"/>
    </row>
    <row r="430" spans="5:18" x14ac:dyDescent="0.25">
      <c r="E430" s="24"/>
      <c r="F430" s="24"/>
      <c r="G430" s="24"/>
      <c r="H430" s="24"/>
      <c r="L430" s="21"/>
      <c r="N430" s="26"/>
      <c r="O430" s="24"/>
      <c r="P430" s="24"/>
      <c r="Q430" s="26"/>
      <c r="R430" s="24"/>
    </row>
    <row r="431" spans="5:18" x14ac:dyDescent="0.25">
      <c r="E431" s="24"/>
      <c r="F431" s="24"/>
      <c r="G431" s="24"/>
      <c r="H431" s="24"/>
      <c r="L431" s="21"/>
      <c r="N431" s="26"/>
      <c r="O431" s="24"/>
      <c r="P431" s="24"/>
      <c r="Q431" s="26"/>
      <c r="R431" s="24"/>
    </row>
    <row r="432" spans="5:18" x14ac:dyDescent="0.25">
      <c r="E432" s="24"/>
      <c r="F432" s="24"/>
      <c r="G432" s="24"/>
      <c r="H432" s="24"/>
      <c r="L432" s="21"/>
      <c r="N432" s="26"/>
      <c r="O432" s="24"/>
      <c r="P432" s="24"/>
      <c r="Q432" s="26"/>
      <c r="R432" s="24"/>
    </row>
    <row r="433" spans="5:18" x14ac:dyDescent="0.25">
      <c r="E433" s="24"/>
      <c r="F433" s="24"/>
      <c r="G433" s="24"/>
      <c r="H433" s="24"/>
      <c r="L433" s="21"/>
      <c r="N433" s="26"/>
      <c r="O433" s="24"/>
      <c r="P433" s="24"/>
      <c r="Q433" s="26"/>
      <c r="R433" s="24"/>
    </row>
    <row r="434" spans="5:18" x14ac:dyDescent="0.25">
      <c r="E434" s="24"/>
      <c r="F434" s="24"/>
      <c r="G434" s="24"/>
      <c r="H434" s="24"/>
      <c r="L434" s="21"/>
      <c r="N434" s="26"/>
      <c r="O434" s="24"/>
      <c r="P434" s="24"/>
      <c r="Q434" s="26"/>
      <c r="R434" s="24"/>
    </row>
    <row r="435" spans="5:18" x14ac:dyDescent="0.25">
      <c r="E435" s="24"/>
      <c r="F435" s="24"/>
      <c r="G435" s="24"/>
      <c r="H435" s="24"/>
      <c r="L435" s="21"/>
      <c r="N435" s="26"/>
      <c r="O435" s="24"/>
      <c r="P435" s="24"/>
      <c r="Q435" s="26"/>
      <c r="R435" s="24"/>
    </row>
    <row r="436" spans="5:18" x14ac:dyDescent="0.25">
      <c r="E436" s="24"/>
      <c r="F436" s="24"/>
      <c r="G436" s="24"/>
      <c r="H436" s="24"/>
      <c r="L436" s="21"/>
      <c r="N436" s="26"/>
      <c r="O436" s="24"/>
      <c r="P436" s="24"/>
      <c r="Q436" s="26"/>
      <c r="R436" s="24"/>
    </row>
    <row r="437" spans="5:18" x14ac:dyDescent="0.25">
      <c r="E437" s="24"/>
      <c r="F437" s="24"/>
      <c r="G437" s="24"/>
      <c r="H437" s="24"/>
      <c r="L437" s="21"/>
      <c r="N437" s="26"/>
      <c r="O437" s="24"/>
      <c r="P437" s="24"/>
      <c r="Q437" s="26"/>
      <c r="R437" s="24"/>
    </row>
    <row r="438" spans="5:18" x14ac:dyDescent="0.25">
      <c r="E438" s="24"/>
      <c r="F438" s="24"/>
      <c r="G438" s="24"/>
      <c r="H438" s="24"/>
      <c r="L438" s="21"/>
      <c r="N438" s="26"/>
      <c r="O438" s="24"/>
      <c r="P438" s="24"/>
      <c r="Q438" s="26"/>
      <c r="R438" s="24"/>
    </row>
    <row r="439" spans="5:18" x14ac:dyDescent="0.25">
      <c r="E439" s="24"/>
      <c r="F439" s="24"/>
      <c r="G439" s="24"/>
      <c r="H439" s="24"/>
      <c r="L439" s="21"/>
      <c r="N439" s="26"/>
      <c r="O439" s="24"/>
      <c r="P439" s="24"/>
      <c r="Q439" s="26"/>
      <c r="R439" s="24"/>
    </row>
    <row r="440" spans="5:18" x14ac:dyDescent="0.25">
      <c r="E440" s="24"/>
      <c r="F440" s="24"/>
      <c r="G440" s="24"/>
      <c r="H440" s="24"/>
      <c r="L440" s="21"/>
      <c r="N440" s="26"/>
      <c r="O440" s="24"/>
      <c r="P440" s="24"/>
      <c r="Q440" s="26"/>
      <c r="R440" s="24"/>
    </row>
    <row r="441" spans="5:18" x14ac:dyDescent="0.25">
      <c r="E441" s="24"/>
      <c r="F441" s="24"/>
      <c r="G441" s="24"/>
      <c r="H441" s="24"/>
      <c r="L441" s="21"/>
      <c r="N441" s="26"/>
      <c r="O441" s="24"/>
      <c r="P441" s="24"/>
      <c r="Q441" s="26"/>
      <c r="R441" s="24"/>
    </row>
    <row r="442" spans="5:18" x14ac:dyDescent="0.25">
      <c r="E442" s="24"/>
      <c r="F442" s="24"/>
      <c r="G442" s="24"/>
      <c r="H442" s="24"/>
      <c r="L442" s="21"/>
      <c r="N442" s="26"/>
      <c r="O442" s="24"/>
      <c r="P442" s="24"/>
      <c r="Q442" s="26"/>
      <c r="R442" s="24"/>
    </row>
    <row r="443" spans="5:18" x14ac:dyDescent="0.25">
      <c r="E443" s="24"/>
      <c r="F443" s="24"/>
      <c r="G443" s="24"/>
      <c r="H443" s="24"/>
      <c r="L443" s="21"/>
      <c r="N443" s="26"/>
      <c r="O443" s="24"/>
      <c r="P443" s="24"/>
      <c r="Q443" s="26"/>
      <c r="R443" s="24"/>
    </row>
    <row r="444" spans="5:18" x14ac:dyDescent="0.25">
      <c r="E444" s="24"/>
      <c r="F444" s="24"/>
      <c r="G444" s="24"/>
      <c r="H444" s="24"/>
      <c r="L444" s="21"/>
      <c r="N444" s="26"/>
      <c r="O444" s="24"/>
      <c r="P444" s="24"/>
      <c r="Q444" s="26"/>
      <c r="R444" s="24"/>
    </row>
    <row r="445" spans="5:18" x14ac:dyDescent="0.25">
      <c r="E445" s="24"/>
      <c r="F445" s="24"/>
      <c r="G445" s="24"/>
      <c r="H445" s="24"/>
      <c r="L445" s="21"/>
      <c r="N445" s="26"/>
      <c r="O445" s="24"/>
      <c r="P445" s="24"/>
      <c r="Q445" s="26"/>
      <c r="R445" s="24"/>
    </row>
    <row r="446" spans="5:18" x14ac:dyDescent="0.25">
      <c r="E446" s="24"/>
      <c r="F446" s="24"/>
      <c r="G446" s="24"/>
      <c r="H446" s="24"/>
      <c r="L446" s="21"/>
      <c r="N446" s="26"/>
      <c r="O446" s="24"/>
      <c r="P446" s="24"/>
      <c r="Q446" s="26"/>
      <c r="R446" s="24"/>
    </row>
    <row r="447" spans="5:18" x14ac:dyDescent="0.25">
      <c r="E447" s="24"/>
      <c r="F447" s="24"/>
      <c r="G447" s="24"/>
      <c r="H447" s="24"/>
      <c r="L447" s="21"/>
      <c r="N447" s="26"/>
      <c r="O447" s="24"/>
      <c r="P447" s="24"/>
      <c r="Q447" s="26"/>
      <c r="R447" s="24"/>
    </row>
    <row r="448" spans="5:18" x14ac:dyDescent="0.25">
      <c r="E448" s="24"/>
      <c r="F448" s="24"/>
      <c r="G448" s="24"/>
      <c r="H448" s="24"/>
      <c r="L448" s="21"/>
      <c r="N448" s="26"/>
      <c r="O448" s="24"/>
      <c r="P448" s="24"/>
      <c r="Q448" s="26"/>
      <c r="R448" s="24"/>
    </row>
    <row r="449" spans="5:18" x14ac:dyDescent="0.25">
      <c r="E449" s="24"/>
      <c r="F449" s="24"/>
      <c r="G449" s="24"/>
      <c r="H449" s="24"/>
      <c r="L449" s="21"/>
      <c r="N449" s="26"/>
      <c r="O449" s="24"/>
      <c r="P449" s="24"/>
      <c r="Q449" s="26"/>
      <c r="R449" s="24"/>
    </row>
    <row r="450" spans="5:18" x14ac:dyDescent="0.25">
      <c r="E450" s="24"/>
      <c r="F450" s="24"/>
      <c r="G450" s="24"/>
      <c r="H450" s="24"/>
      <c r="L450" s="21"/>
      <c r="N450" s="26"/>
      <c r="O450" s="24"/>
      <c r="P450" s="24"/>
      <c r="Q450" s="26"/>
      <c r="R450" s="24"/>
    </row>
    <row r="451" spans="5:18" x14ac:dyDescent="0.25">
      <c r="E451" s="24"/>
      <c r="F451" s="24"/>
      <c r="G451" s="24"/>
      <c r="H451" s="24"/>
      <c r="L451" s="21"/>
      <c r="N451" s="26"/>
      <c r="O451" s="24"/>
      <c r="P451" s="24"/>
      <c r="Q451" s="26"/>
      <c r="R451" s="24"/>
    </row>
    <row r="452" spans="5:18" x14ac:dyDescent="0.25">
      <c r="E452" s="24"/>
      <c r="F452" s="24"/>
      <c r="G452" s="24"/>
      <c r="H452" s="24"/>
      <c r="L452" s="21"/>
      <c r="N452" s="26"/>
      <c r="O452" s="24"/>
      <c r="P452" s="24"/>
      <c r="Q452" s="26"/>
      <c r="R452" s="24"/>
    </row>
    <row r="453" spans="5:18" x14ac:dyDescent="0.25">
      <c r="E453" s="24"/>
      <c r="F453" s="24"/>
      <c r="G453" s="24"/>
      <c r="H453" s="24"/>
      <c r="L453" s="21"/>
      <c r="N453" s="26"/>
      <c r="O453" s="24"/>
      <c r="P453" s="24"/>
      <c r="Q453" s="26"/>
      <c r="R453" s="24"/>
    </row>
    <row r="454" spans="5:18" x14ac:dyDescent="0.25">
      <c r="E454" s="24"/>
      <c r="F454" s="24"/>
      <c r="G454" s="24"/>
      <c r="H454" s="24"/>
      <c r="L454" s="21"/>
      <c r="N454" s="26"/>
      <c r="O454" s="24"/>
      <c r="P454" s="24"/>
      <c r="Q454" s="26"/>
      <c r="R454" s="24"/>
    </row>
    <row r="455" spans="5:18" x14ac:dyDescent="0.25">
      <c r="E455" s="24"/>
      <c r="F455" s="24"/>
      <c r="G455" s="24"/>
      <c r="H455" s="24"/>
      <c r="L455" s="21"/>
      <c r="N455" s="26"/>
      <c r="O455" s="24"/>
      <c r="P455" s="24"/>
      <c r="Q455" s="26"/>
      <c r="R455" s="24"/>
    </row>
    <row r="456" spans="5:18" x14ac:dyDescent="0.25">
      <c r="E456" s="24"/>
      <c r="F456" s="24"/>
      <c r="G456" s="24"/>
      <c r="H456" s="24"/>
      <c r="L456" s="21"/>
      <c r="N456" s="26"/>
      <c r="O456" s="24"/>
      <c r="P456" s="24"/>
      <c r="Q456" s="26"/>
      <c r="R456" s="24"/>
    </row>
    <row r="457" spans="5:18" x14ac:dyDescent="0.25">
      <c r="E457" s="24"/>
      <c r="F457" s="24"/>
      <c r="G457" s="24"/>
      <c r="H457" s="24"/>
      <c r="L457" s="21"/>
      <c r="N457" s="26"/>
      <c r="O457" s="24"/>
      <c r="P457" s="24"/>
      <c r="Q457" s="26"/>
      <c r="R457" s="24"/>
    </row>
    <row r="458" spans="5:18" x14ac:dyDescent="0.25">
      <c r="E458" s="24"/>
      <c r="F458" s="24"/>
      <c r="G458" s="24"/>
      <c r="H458" s="24"/>
      <c r="L458" s="21"/>
      <c r="N458" s="26"/>
      <c r="O458" s="24"/>
      <c r="P458" s="24"/>
      <c r="Q458" s="26"/>
      <c r="R458" s="24"/>
    </row>
    <row r="459" spans="5:18" x14ac:dyDescent="0.25">
      <c r="E459" s="24"/>
      <c r="F459" s="24"/>
      <c r="G459" s="24"/>
      <c r="H459" s="24"/>
      <c r="L459" s="21"/>
      <c r="N459" s="26"/>
      <c r="O459" s="24"/>
      <c r="P459" s="24"/>
      <c r="Q459" s="26"/>
      <c r="R459" s="24"/>
    </row>
    <row r="460" spans="5:18" x14ac:dyDescent="0.25">
      <c r="E460" s="24"/>
      <c r="F460" s="24"/>
      <c r="G460" s="24"/>
      <c r="H460" s="24"/>
      <c r="L460" s="21"/>
      <c r="N460" s="26"/>
      <c r="O460" s="24"/>
      <c r="P460" s="24"/>
      <c r="Q460" s="26"/>
      <c r="R460" s="24"/>
    </row>
    <row r="461" spans="5:18" x14ac:dyDescent="0.25">
      <c r="E461" s="24"/>
      <c r="F461" s="24"/>
      <c r="G461" s="24"/>
      <c r="H461" s="24"/>
      <c r="L461" s="21"/>
      <c r="N461" s="26"/>
      <c r="O461" s="24"/>
      <c r="P461" s="24"/>
      <c r="Q461" s="26"/>
      <c r="R461" s="24"/>
    </row>
    <row r="462" spans="5:18" x14ac:dyDescent="0.25">
      <c r="E462" s="24"/>
      <c r="F462" s="24"/>
      <c r="G462" s="24"/>
      <c r="H462" s="24"/>
      <c r="L462" s="21"/>
      <c r="N462" s="26"/>
      <c r="O462" s="24"/>
      <c r="P462" s="24"/>
      <c r="Q462" s="26"/>
      <c r="R462" s="24"/>
    </row>
    <row r="463" spans="5:18" x14ac:dyDescent="0.25">
      <c r="E463" s="24"/>
      <c r="F463" s="24"/>
      <c r="G463" s="24"/>
      <c r="H463" s="24"/>
      <c r="L463" s="21"/>
      <c r="N463" s="26"/>
      <c r="O463" s="24"/>
      <c r="P463" s="24"/>
      <c r="Q463" s="26"/>
      <c r="R463" s="24"/>
    </row>
    <row r="464" spans="5:18" x14ac:dyDescent="0.25">
      <c r="E464" s="24"/>
      <c r="F464" s="24"/>
      <c r="G464" s="24"/>
      <c r="H464" s="24"/>
      <c r="L464" s="21"/>
      <c r="N464" s="26"/>
      <c r="O464" s="24"/>
      <c r="P464" s="24"/>
      <c r="Q464" s="26"/>
      <c r="R464" s="24"/>
    </row>
    <row r="465" spans="5:18" x14ac:dyDescent="0.25">
      <c r="E465" s="24"/>
      <c r="F465" s="24"/>
      <c r="G465" s="24"/>
      <c r="H465" s="24"/>
      <c r="L465" s="21"/>
      <c r="N465" s="26"/>
      <c r="O465" s="24"/>
      <c r="P465" s="24"/>
      <c r="Q465" s="26"/>
      <c r="R465" s="24"/>
    </row>
    <row r="466" spans="5:18" x14ac:dyDescent="0.25">
      <c r="E466" s="24"/>
      <c r="F466" s="24"/>
      <c r="G466" s="24"/>
      <c r="H466" s="24"/>
      <c r="L466" s="21"/>
      <c r="N466" s="26"/>
      <c r="O466" s="24"/>
      <c r="P466" s="24"/>
      <c r="Q466" s="26"/>
      <c r="R466" s="24"/>
    </row>
    <row r="467" spans="5:18" x14ac:dyDescent="0.25">
      <c r="E467" s="24"/>
      <c r="F467" s="24"/>
      <c r="G467" s="24"/>
      <c r="H467" s="24"/>
      <c r="L467" s="21"/>
      <c r="N467" s="26"/>
      <c r="O467" s="24"/>
      <c r="P467" s="24"/>
      <c r="Q467" s="26"/>
      <c r="R467" s="24"/>
    </row>
    <row r="468" spans="5:18" x14ac:dyDescent="0.25">
      <c r="E468" s="24"/>
      <c r="F468" s="24"/>
      <c r="G468" s="24"/>
      <c r="H468" s="24"/>
      <c r="L468" s="21"/>
      <c r="N468" s="26"/>
      <c r="O468" s="24"/>
      <c r="P468" s="24"/>
      <c r="Q468" s="26"/>
      <c r="R468" s="24"/>
    </row>
    <row r="469" spans="5:18" x14ac:dyDescent="0.25">
      <c r="E469" s="24"/>
      <c r="F469" s="24"/>
      <c r="G469" s="24"/>
      <c r="H469" s="24"/>
      <c r="L469" s="21"/>
      <c r="N469" s="26"/>
      <c r="O469" s="24"/>
      <c r="P469" s="24"/>
      <c r="Q469" s="26"/>
      <c r="R469" s="24"/>
    </row>
    <row r="470" spans="5:18" x14ac:dyDescent="0.25">
      <c r="E470" s="24"/>
      <c r="F470" s="24"/>
      <c r="G470" s="24"/>
      <c r="H470" s="24"/>
      <c r="L470" s="21"/>
      <c r="N470" s="26"/>
      <c r="O470" s="24"/>
      <c r="P470" s="24"/>
      <c r="Q470" s="26"/>
      <c r="R470" s="24"/>
    </row>
    <row r="471" spans="5:18" x14ac:dyDescent="0.25">
      <c r="E471" s="24"/>
      <c r="F471" s="24"/>
      <c r="G471" s="24"/>
      <c r="H471" s="24"/>
      <c r="L471" s="21"/>
      <c r="N471" s="26"/>
      <c r="O471" s="24"/>
      <c r="P471" s="24"/>
      <c r="Q471" s="26"/>
      <c r="R471" s="24"/>
    </row>
    <row r="472" spans="5:18" x14ac:dyDescent="0.25">
      <c r="E472" s="24"/>
      <c r="F472" s="24"/>
      <c r="G472" s="24"/>
      <c r="H472" s="24"/>
      <c r="L472" s="21"/>
      <c r="N472" s="26"/>
      <c r="O472" s="24"/>
      <c r="P472" s="24"/>
      <c r="Q472" s="26"/>
      <c r="R472" s="24"/>
    </row>
    <row r="473" spans="5:18" x14ac:dyDescent="0.25">
      <c r="E473" s="24"/>
      <c r="F473" s="24"/>
      <c r="G473" s="24"/>
      <c r="H473" s="24"/>
      <c r="L473" s="21"/>
      <c r="N473" s="26"/>
      <c r="O473" s="24"/>
      <c r="P473" s="24"/>
      <c r="Q473" s="26"/>
      <c r="R473" s="24"/>
    </row>
    <row r="474" spans="5:18" x14ac:dyDescent="0.25">
      <c r="E474" s="24"/>
      <c r="F474" s="24"/>
      <c r="G474" s="24"/>
      <c r="H474" s="24"/>
      <c r="L474" s="21"/>
      <c r="N474" s="26"/>
      <c r="O474" s="24"/>
      <c r="P474" s="24"/>
      <c r="Q474" s="26"/>
      <c r="R474" s="24"/>
    </row>
    <row r="475" spans="5:18" x14ac:dyDescent="0.25">
      <c r="E475" s="24"/>
      <c r="F475" s="24"/>
      <c r="G475" s="24"/>
      <c r="H475" s="24"/>
      <c r="L475" s="21"/>
      <c r="N475" s="26"/>
      <c r="O475" s="24"/>
      <c r="P475" s="24"/>
      <c r="Q475" s="26"/>
      <c r="R475" s="24"/>
    </row>
    <row r="476" spans="5:18" x14ac:dyDescent="0.25">
      <c r="E476" s="24"/>
      <c r="F476" s="24"/>
      <c r="G476" s="24"/>
      <c r="H476" s="24"/>
      <c r="L476" s="21"/>
      <c r="N476" s="26"/>
      <c r="O476" s="24"/>
      <c r="P476" s="24"/>
      <c r="Q476" s="26"/>
      <c r="R476" s="24"/>
    </row>
    <row r="477" spans="5:18" x14ac:dyDescent="0.25">
      <c r="E477" s="24"/>
      <c r="F477" s="24"/>
      <c r="G477" s="24"/>
      <c r="H477" s="24"/>
      <c r="L477" s="21"/>
      <c r="N477" s="26"/>
      <c r="O477" s="24"/>
      <c r="P477" s="24"/>
      <c r="Q477" s="26"/>
      <c r="R477" s="24"/>
    </row>
    <row r="478" spans="5:18" x14ac:dyDescent="0.25">
      <c r="E478" s="24"/>
      <c r="F478" s="24"/>
      <c r="G478" s="24"/>
      <c r="H478" s="24"/>
      <c r="L478" s="21"/>
      <c r="N478" s="26"/>
      <c r="O478" s="24"/>
      <c r="P478" s="24"/>
      <c r="Q478" s="26"/>
      <c r="R478" s="24"/>
    </row>
    <row r="479" spans="5:18" x14ac:dyDescent="0.25">
      <c r="E479" s="24"/>
      <c r="F479" s="24"/>
      <c r="G479" s="24"/>
      <c r="H479" s="24"/>
      <c r="L479" s="21"/>
      <c r="N479" s="26"/>
      <c r="O479" s="24"/>
      <c r="P479" s="24"/>
      <c r="Q479" s="26"/>
      <c r="R479" s="24"/>
    </row>
    <row r="480" spans="5:18" x14ac:dyDescent="0.25">
      <c r="E480" s="24"/>
      <c r="F480" s="24"/>
      <c r="G480" s="24"/>
      <c r="H480" s="24"/>
      <c r="L480" s="21"/>
      <c r="N480" s="26"/>
      <c r="O480" s="24"/>
      <c r="P480" s="24"/>
      <c r="Q480" s="26"/>
      <c r="R480" s="24"/>
    </row>
    <row r="481" spans="5:18" x14ac:dyDescent="0.25">
      <c r="E481" s="24"/>
      <c r="F481" s="24"/>
      <c r="G481" s="24"/>
      <c r="H481" s="24"/>
      <c r="L481" s="21"/>
      <c r="N481" s="26"/>
      <c r="O481" s="24"/>
      <c r="P481" s="24"/>
      <c r="Q481" s="26"/>
      <c r="R481" s="24"/>
    </row>
    <row r="482" spans="5:18" x14ac:dyDescent="0.25">
      <c r="E482" s="24"/>
      <c r="F482" s="24"/>
      <c r="G482" s="24"/>
      <c r="H482" s="24"/>
      <c r="L482" s="21"/>
      <c r="N482" s="26"/>
      <c r="O482" s="24"/>
      <c r="P482" s="24"/>
      <c r="Q482" s="26"/>
      <c r="R482" s="24"/>
    </row>
    <row r="483" spans="5:18" x14ac:dyDescent="0.25">
      <c r="E483" s="24"/>
      <c r="F483" s="24"/>
      <c r="G483" s="24"/>
      <c r="H483" s="24"/>
      <c r="L483" s="21"/>
      <c r="N483" s="26"/>
      <c r="O483" s="24"/>
      <c r="P483" s="24"/>
      <c r="Q483" s="26"/>
      <c r="R483" s="24"/>
    </row>
    <row r="484" spans="5:18" x14ac:dyDescent="0.25">
      <c r="E484" s="24"/>
      <c r="F484" s="24"/>
      <c r="G484" s="24"/>
      <c r="H484" s="24"/>
      <c r="L484" s="21"/>
      <c r="N484" s="26"/>
      <c r="O484" s="24"/>
      <c r="P484" s="24"/>
      <c r="Q484" s="26"/>
      <c r="R484" s="24"/>
    </row>
    <row r="485" spans="5:18" x14ac:dyDescent="0.25">
      <c r="E485" s="24"/>
      <c r="F485" s="24"/>
      <c r="G485" s="24"/>
      <c r="H485" s="24"/>
      <c r="L485" s="21"/>
      <c r="N485" s="26"/>
      <c r="O485" s="24"/>
      <c r="P485" s="24"/>
      <c r="Q485" s="26"/>
      <c r="R485" s="24"/>
    </row>
    <row r="486" spans="5:18" x14ac:dyDescent="0.25">
      <c r="E486" s="24"/>
      <c r="F486" s="24"/>
      <c r="G486" s="24"/>
      <c r="H486" s="24"/>
      <c r="L486" s="21"/>
      <c r="N486" s="26"/>
      <c r="O486" s="24"/>
      <c r="P486" s="24"/>
      <c r="Q486" s="26"/>
      <c r="R486" s="24"/>
    </row>
    <row r="487" spans="5:18" x14ac:dyDescent="0.25">
      <c r="E487" s="24"/>
      <c r="F487" s="24"/>
      <c r="G487" s="24"/>
      <c r="H487" s="24"/>
      <c r="L487" s="21"/>
      <c r="N487" s="26"/>
      <c r="O487" s="24"/>
      <c r="P487" s="24"/>
      <c r="Q487" s="26"/>
      <c r="R487" s="24"/>
    </row>
    <row r="488" spans="5:18" x14ac:dyDescent="0.25">
      <c r="E488" s="24"/>
      <c r="F488" s="24"/>
      <c r="G488" s="24"/>
      <c r="H488" s="24"/>
      <c r="L488" s="21"/>
      <c r="N488" s="26"/>
      <c r="O488" s="24"/>
      <c r="P488" s="24"/>
      <c r="Q488" s="26"/>
      <c r="R488" s="24"/>
    </row>
    <row r="489" spans="5:18" x14ac:dyDescent="0.25">
      <c r="E489" s="24"/>
      <c r="F489" s="24"/>
      <c r="G489" s="24"/>
      <c r="H489" s="24"/>
      <c r="L489" s="21"/>
      <c r="N489" s="26"/>
      <c r="O489" s="24"/>
      <c r="P489" s="24"/>
      <c r="Q489" s="26"/>
      <c r="R489" s="24"/>
    </row>
    <row r="490" spans="5:18" x14ac:dyDescent="0.25">
      <c r="E490" s="24"/>
      <c r="F490" s="24"/>
      <c r="G490" s="24"/>
      <c r="H490" s="24"/>
      <c r="L490" s="21"/>
      <c r="N490" s="26"/>
      <c r="O490" s="24"/>
      <c r="P490" s="24"/>
      <c r="Q490" s="26"/>
      <c r="R490" s="24"/>
    </row>
    <row r="491" spans="5:18" x14ac:dyDescent="0.25">
      <c r="E491" s="24"/>
      <c r="F491" s="24"/>
      <c r="G491" s="24"/>
      <c r="H491" s="24"/>
      <c r="L491" s="21"/>
      <c r="N491" s="26"/>
      <c r="O491" s="24"/>
      <c r="P491" s="24"/>
      <c r="Q491" s="26"/>
      <c r="R491" s="24"/>
    </row>
    <row r="492" spans="5:18" x14ac:dyDescent="0.25">
      <c r="E492" s="24"/>
      <c r="F492" s="24"/>
      <c r="G492" s="24"/>
      <c r="H492" s="24"/>
      <c r="L492" s="21"/>
      <c r="N492" s="26"/>
      <c r="O492" s="24"/>
      <c r="P492" s="24"/>
      <c r="Q492" s="26"/>
      <c r="R492" s="24"/>
    </row>
    <row r="493" spans="5:18" x14ac:dyDescent="0.25">
      <c r="E493" s="24"/>
      <c r="F493" s="24"/>
      <c r="G493" s="24"/>
      <c r="H493" s="24"/>
      <c r="L493" s="21"/>
      <c r="N493" s="26"/>
      <c r="O493" s="24"/>
      <c r="P493" s="24"/>
      <c r="Q493" s="26"/>
      <c r="R493" s="24"/>
    </row>
    <row r="494" spans="5:18" x14ac:dyDescent="0.25">
      <c r="E494" s="24"/>
      <c r="F494" s="24"/>
      <c r="G494" s="24"/>
      <c r="H494" s="24"/>
      <c r="L494" s="21"/>
      <c r="N494" s="26"/>
      <c r="O494" s="24"/>
      <c r="P494" s="24"/>
      <c r="Q494" s="26"/>
      <c r="R494" s="24"/>
    </row>
    <row r="495" spans="5:18" x14ac:dyDescent="0.25">
      <c r="E495" s="24"/>
      <c r="F495" s="24"/>
      <c r="G495" s="24"/>
      <c r="H495" s="24"/>
      <c r="L495" s="21"/>
      <c r="N495" s="26"/>
      <c r="O495" s="24"/>
      <c r="P495" s="24"/>
      <c r="Q495" s="26"/>
      <c r="R495" s="24"/>
    </row>
    <row r="496" spans="5:18" x14ac:dyDescent="0.25">
      <c r="E496" s="24"/>
      <c r="F496" s="24"/>
      <c r="G496" s="24"/>
      <c r="H496" s="24"/>
      <c r="L496" s="21"/>
      <c r="N496" s="26"/>
      <c r="O496" s="24"/>
      <c r="P496" s="24"/>
      <c r="Q496" s="26"/>
      <c r="R496" s="24"/>
    </row>
    <row r="497" spans="5:18" x14ac:dyDescent="0.25">
      <c r="E497" s="24"/>
      <c r="F497" s="24"/>
      <c r="G497" s="24"/>
      <c r="H497" s="24"/>
      <c r="L497" s="21"/>
      <c r="N497" s="26"/>
      <c r="O497" s="24"/>
      <c r="P497" s="24"/>
      <c r="Q497" s="26"/>
      <c r="R497" s="24"/>
    </row>
    <row r="498" spans="5:18" x14ac:dyDescent="0.25">
      <c r="E498" s="24"/>
      <c r="F498" s="24"/>
      <c r="G498" s="24"/>
      <c r="H498" s="24"/>
      <c r="L498" s="21"/>
      <c r="N498" s="26"/>
      <c r="O498" s="24"/>
      <c r="P498" s="24"/>
      <c r="Q498" s="26"/>
      <c r="R498" s="24"/>
    </row>
    <row r="499" spans="5:18" x14ac:dyDescent="0.25">
      <c r="E499" s="24"/>
      <c r="F499" s="24"/>
      <c r="G499" s="24"/>
      <c r="H499" s="24"/>
      <c r="L499" s="21"/>
      <c r="N499" s="26"/>
      <c r="O499" s="24"/>
      <c r="P499" s="24"/>
      <c r="Q499" s="26"/>
      <c r="R499" s="24"/>
    </row>
    <row r="500" spans="5:18" x14ac:dyDescent="0.25">
      <c r="E500" s="24"/>
      <c r="F500" s="24"/>
      <c r="G500" s="24"/>
      <c r="H500" s="24"/>
      <c r="L500" s="21"/>
      <c r="N500" s="26"/>
      <c r="O500" s="24"/>
      <c r="P500" s="24"/>
      <c r="Q500" s="26"/>
      <c r="R500" s="24"/>
    </row>
    <row r="501" spans="5:18" x14ac:dyDescent="0.25">
      <c r="E501" s="24"/>
      <c r="F501" s="24"/>
      <c r="G501" s="24"/>
      <c r="H501" s="24"/>
      <c r="L501" s="21"/>
      <c r="N501" s="26"/>
      <c r="O501" s="24"/>
      <c r="P501" s="24"/>
      <c r="Q501" s="26"/>
      <c r="R501" s="24"/>
    </row>
    <row r="502" spans="5:18" x14ac:dyDescent="0.25">
      <c r="E502" s="24"/>
      <c r="F502" s="24"/>
      <c r="G502" s="24"/>
      <c r="H502" s="24"/>
      <c r="L502" s="21"/>
      <c r="N502" s="26"/>
      <c r="O502" s="24"/>
      <c r="P502" s="24"/>
      <c r="Q502" s="26"/>
      <c r="R502" s="24"/>
    </row>
    <row r="503" spans="5:18" x14ac:dyDescent="0.25">
      <c r="E503" s="24"/>
      <c r="F503" s="24"/>
      <c r="G503" s="24"/>
      <c r="H503" s="24"/>
      <c r="L503" s="21"/>
      <c r="N503" s="26"/>
      <c r="O503" s="24"/>
      <c r="P503" s="24"/>
      <c r="Q503" s="26"/>
      <c r="R503" s="24"/>
    </row>
    <row r="504" spans="5:18" x14ac:dyDescent="0.25">
      <c r="E504" s="24"/>
      <c r="F504" s="24"/>
      <c r="G504" s="24"/>
      <c r="H504" s="24"/>
      <c r="L504" s="21"/>
      <c r="N504" s="26"/>
      <c r="O504" s="24"/>
      <c r="P504" s="24"/>
      <c r="Q504" s="26"/>
      <c r="R504" s="24"/>
    </row>
    <row r="505" spans="5:18" x14ac:dyDescent="0.25">
      <c r="E505" s="24"/>
      <c r="F505" s="24"/>
      <c r="G505" s="24"/>
      <c r="H505" s="24"/>
      <c r="L505" s="21"/>
      <c r="N505" s="26"/>
      <c r="O505" s="24"/>
      <c r="P505" s="24"/>
      <c r="Q505" s="26"/>
      <c r="R505" s="24"/>
    </row>
    <row r="506" spans="5:18" x14ac:dyDescent="0.25">
      <c r="E506" s="24"/>
      <c r="F506" s="24"/>
      <c r="G506" s="24"/>
      <c r="H506" s="24"/>
      <c r="L506" s="21"/>
      <c r="N506" s="26"/>
      <c r="O506" s="24"/>
      <c r="P506" s="24"/>
      <c r="Q506" s="26"/>
      <c r="R506" s="24"/>
    </row>
    <row r="507" spans="5:18" x14ac:dyDescent="0.25">
      <c r="E507" s="24"/>
      <c r="F507" s="24"/>
      <c r="G507" s="24"/>
      <c r="H507" s="24"/>
      <c r="L507" s="21"/>
      <c r="N507" s="26"/>
      <c r="O507" s="24"/>
      <c r="P507" s="24"/>
      <c r="Q507" s="26"/>
      <c r="R507" s="24"/>
    </row>
    <row r="508" spans="5:18" x14ac:dyDescent="0.25">
      <c r="E508" s="24"/>
      <c r="F508" s="24"/>
      <c r="G508" s="24"/>
      <c r="H508" s="24"/>
      <c r="L508" s="21"/>
      <c r="N508" s="26"/>
      <c r="O508" s="24"/>
      <c r="P508" s="24"/>
      <c r="Q508" s="26"/>
      <c r="R508" s="24"/>
    </row>
    <row r="509" spans="5:18" x14ac:dyDescent="0.25">
      <c r="E509" s="24"/>
      <c r="F509" s="24"/>
      <c r="G509" s="24"/>
      <c r="H509" s="24"/>
      <c r="L509" s="21"/>
      <c r="N509" s="26"/>
      <c r="O509" s="24"/>
      <c r="P509" s="24"/>
      <c r="Q509" s="26"/>
      <c r="R509" s="24"/>
    </row>
    <row r="510" spans="5:18" x14ac:dyDescent="0.25">
      <c r="E510" s="24"/>
      <c r="F510" s="24"/>
      <c r="G510" s="24"/>
      <c r="H510" s="24"/>
      <c r="L510" s="21"/>
      <c r="N510" s="26"/>
      <c r="O510" s="24"/>
      <c r="P510" s="24"/>
      <c r="Q510" s="26"/>
      <c r="R510" s="24"/>
    </row>
    <row r="511" spans="5:18" x14ac:dyDescent="0.25">
      <c r="E511" s="24"/>
      <c r="F511" s="24"/>
      <c r="G511" s="24"/>
      <c r="H511" s="24"/>
      <c r="L511" s="21"/>
      <c r="N511" s="26"/>
      <c r="O511" s="24"/>
      <c r="P511" s="24"/>
      <c r="Q511" s="26"/>
      <c r="R511" s="24"/>
    </row>
    <row r="512" spans="5:18" x14ac:dyDescent="0.25">
      <c r="E512" s="24"/>
      <c r="F512" s="24"/>
      <c r="G512" s="24"/>
      <c r="H512" s="24"/>
      <c r="L512" s="21"/>
      <c r="N512" s="26"/>
      <c r="O512" s="24"/>
      <c r="P512" s="24"/>
      <c r="Q512" s="26"/>
      <c r="R512" s="24"/>
    </row>
    <row r="513" spans="5:18" x14ac:dyDescent="0.25">
      <c r="E513" s="24"/>
      <c r="F513" s="24"/>
      <c r="G513" s="24"/>
      <c r="H513" s="24"/>
      <c r="L513" s="21"/>
      <c r="N513" s="26"/>
      <c r="O513" s="24"/>
      <c r="P513" s="24"/>
      <c r="Q513" s="26"/>
      <c r="R513" s="24"/>
    </row>
    <row r="514" spans="5:18" x14ac:dyDescent="0.25">
      <c r="E514" s="24"/>
      <c r="F514" s="24"/>
      <c r="G514" s="24"/>
      <c r="H514" s="24"/>
      <c r="L514" s="21"/>
      <c r="N514" s="26"/>
      <c r="O514" s="24"/>
      <c r="P514" s="24"/>
      <c r="Q514" s="26"/>
      <c r="R514" s="24"/>
    </row>
    <row r="515" spans="5:18" x14ac:dyDescent="0.25">
      <c r="E515" s="24"/>
      <c r="F515" s="24"/>
      <c r="G515" s="24"/>
      <c r="H515" s="24"/>
      <c r="L515" s="21"/>
      <c r="N515" s="26"/>
      <c r="O515" s="24"/>
      <c r="P515" s="24"/>
      <c r="Q515" s="26"/>
      <c r="R515" s="24"/>
    </row>
    <row r="516" spans="5:18" x14ac:dyDescent="0.25">
      <c r="E516" s="24"/>
      <c r="F516" s="24"/>
      <c r="G516" s="24"/>
      <c r="H516" s="24"/>
      <c r="L516" s="21"/>
      <c r="N516" s="26"/>
      <c r="O516" s="24"/>
      <c r="P516" s="24"/>
      <c r="Q516" s="26"/>
      <c r="R516" s="24"/>
    </row>
    <row r="517" spans="5:18" x14ac:dyDescent="0.25">
      <c r="E517" s="24"/>
      <c r="F517" s="24"/>
      <c r="G517" s="24"/>
      <c r="H517" s="24"/>
      <c r="L517" s="21"/>
      <c r="N517" s="26"/>
      <c r="O517" s="24"/>
      <c r="P517" s="24"/>
      <c r="Q517" s="26"/>
      <c r="R517" s="24"/>
    </row>
    <row r="518" spans="5:18" x14ac:dyDescent="0.25">
      <c r="E518" s="24"/>
      <c r="F518" s="24"/>
      <c r="G518" s="24"/>
      <c r="H518" s="24"/>
      <c r="L518" s="21"/>
      <c r="N518" s="26"/>
      <c r="O518" s="24"/>
      <c r="P518" s="24"/>
      <c r="Q518" s="26"/>
      <c r="R518" s="24"/>
    </row>
    <row r="519" spans="5:18" x14ac:dyDescent="0.25">
      <c r="E519" s="24"/>
      <c r="F519" s="24"/>
      <c r="G519" s="24"/>
      <c r="H519" s="24"/>
      <c r="L519" s="21"/>
      <c r="N519" s="26"/>
      <c r="O519" s="24"/>
      <c r="P519" s="24"/>
      <c r="Q519" s="26"/>
      <c r="R519" s="24"/>
    </row>
    <row r="520" spans="5:18" x14ac:dyDescent="0.25">
      <c r="E520" s="24"/>
      <c r="F520" s="24"/>
      <c r="G520" s="24"/>
      <c r="H520" s="24"/>
      <c r="L520" s="21"/>
      <c r="N520" s="26"/>
      <c r="O520" s="24"/>
      <c r="P520" s="24"/>
      <c r="Q520" s="26"/>
      <c r="R520" s="24"/>
    </row>
    <row r="521" spans="5:18" x14ac:dyDescent="0.25">
      <c r="E521" s="24"/>
      <c r="F521" s="24"/>
      <c r="G521" s="24"/>
      <c r="H521" s="24"/>
      <c r="L521" s="21"/>
      <c r="N521" s="26"/>
      <c r="O521" s="24"/>
      <c r="P521" s="24"/>
      <c r="Q521" s="26"/>
      <c r="R521" s="24"/>
    </row>
    <row r="522" spans="5:18" x14ac:dyDescent="0.25">
      <c r="E522" s="24"/>
      <c r="F522" s="24"/>
      <c r="G522" s="24"/>
      <c r="H522" s="24"/>
      <c r="L522" s="21"/>
      <c r="N522" s="26"/>
      <c r="O522" s="24"/>
      <c r="P522" s="24"/>
      <c r="Q522" s="26"/>
      <c r="R522" s="24"/>
    </row>
    <row r="523" spans="5:18" x14ac:dyDescent="0.25">
      <c r="E523" s="24"/>
      <c r="F523" s="24"/>
      <c r="G523" s="24"/>
      <c r="H523" s="24"/>
      <c r="L523" s="21"/>
      <c r="N523" s="26"/>
      <c r="O523" s="24"/>
      <c r="P523" s="24"/>
      <c r="Q523" s="26"/>
      <c r="R523" s="24"/>
    </row>
    <row r="524" spans="5:18" x14ac:dyDescent="0.25">
      <c r="E524" s="24"/>
      <c r="F524" s="24"/>
      <c r="G524" s="24"/>
      <c r="H524" s="24"/>
      <c r="L524" s="21"/>
      <c r="N524" s="26"/>
      <c r="O524" s="24"/>
      <c r="P524" s="24"/>
      <c r="Q524" s="26"/>
      <c r="R524" s="24"/>
    </row>
    <row r="525" spans="5:18" x14ac:dyDescent="0.25">
      <c r="E525" s="24"/>
      <c r="F525" s="24"/>
      <c r="G525" s="24"/>
      <c r="H525" s="24"/>
      <c r="L525" s="21"/>
      <c r="N525" s="26"/>
      <c r="O525" s="24"/>
      <c r="P525" s="24"/>
      <c r="Q525" s="26"/>
      <c r="R525" s="24"/>
    </row>
    <row r="526" spans="5:18" x14ac:dyDescent="0.25">
      <c r="E526" s="24"/>
      <c r="F526" s="24"/>
      <c r="G526" s="24"/>
      <c r="H526" s="24"/>
      <c r="L526" s="21"/>
      <c r="N526" s="26"/>
      <c r="O526" s="24"/>
      <c r="P526" s="24"/>
      <c r="Q526" s="26"/>
      <c r="R526" s="24"/>
    </row>
    <row r="527" spans="5:18" x14ac:dyDescent="0.25">
      <c r="E527" s="24"/>
      <c r="F527" s="24"/>
      <c r="G527" s="24"/>
      <c r="H527" s="24"/>
      <c r="L527" s="21"/>
      <c r="N527" s="26"/>
      <c r="O527" s="24"/>
      <c r="P527" s="24"/>
      <c r="Q527" s="26"/>
      <c r="R527" s="24"/>
    </row>
    <row r="528" spans="5:18" x14ac:dyDescent="0.25">
      <c r="E528" s="24"/>
      <c r="F528" s="24"/>
      <c r="G528" s="24"/>
      <c r="H528" s="24"/>
      <c r="L528" s="21"/>
      <c r="N528" s="26"/>
      <c r="O528" s="24"/>
      <c r="P528" s="24"/>
      <c r="Q528" s="26"/>
      <c r="R528" s="24"/>
    </row>
    <row r="529" spans="5:18" x14ac:dyDescent="0.25">
      <c r="E529" s="24"/>
      <c r="F529" s="24"/>
      <c r="G529" s="24"/>
      <c r="H529" s="24"/>
      <c r="L529" s="21"/>
      <c r="N529" s="26"/>
      <c r="O529" s="24"/>
      <c r="P529" s="24"/>
      <c r="Q529" s="26"/>
      <c r="R529" s="24"/>
    </row>
    <row r="530" spans="5:18" x14ac:dyDescent="0.25">
      <c r="E530" s="24"/>
      <c r="F530" s="24"/>
      <c r="G530" s="24"/>
      <c r="H530" s="24"/>
      <c r="L530" s="21"/>
      <c r="N530" s="26"/>
      <c r="O530" s="24"/>
      <c r="P530" s="24"/>
      <c r="Q530" s="26"/>
      <c r="R530" s="24"/>
    </row>
    <row r="531" spans="5:18" x14ac:dyDescent="0.25">
      <c r="E531" s="24"/>
      <c r="F531" s="24"/>
      <c r="G531" s="24"/>
      <c r="H531" s="24"/>
      <c r="L531" s="21"/>
      <c r="N531" s="26"/>
      <c r="O531" s="24"/>
      <c r="P531" s="24"/>
      <c r="Q531" s="26"/>
      <c r="R531" s="24"/>
    </row>
    <row r="532" spans="5:18" x14ac:dyDescent="0.25">
      <c r="E532" s="24"/>
      <c r="F532" s="24"/>
      <c r="G532" s="24"/>
      <c r="H532" s="24"/>
      <c r="L532" s="21"/>
      <c r="N532" s="26"/>
      <c r="O532" s="24"/>
      <c r="P532" s="24"/>
      <c r="Q532" s="26"/>
      <c r="R532" s="24"/>
    </row>
    <row r="533" spans="5:18" x14ac:dyDescent="0.25">
      <c r="E533" s="24"/>
      <c r="F533" s="24"/>
      <c r="G533" s="24"/>
      <c r="H533" s="24"/>
      <c r="L533" s="21"/>
      <c r="N533" s="26"/>
      <c r="O533" s="24"/>
      <c r="P533" s="24"/>
      <c r="Q533" s="26"/>
      <c r="R533" s="24"/>
    </row>
    <row r="534" spans="5:18" x14ac:dyDescent="0.25">
      <c r="E534" s="24"/>
      <c r="F534" s="24"/>
      <c r="G534" s="24"/>
      <c r="H534" s="24"/>
      <c r="L534" s="21"/>
      <c r="N534" s="26"/>
      <c r="O534" s="24"/>
      <c r="P534" s="24"/>
      <c r="Q534" s="26"/>
      <c r="R534" s="24"/>
    </row>
    <row r="535" spans="5:18" x14ac:dyDescent="0.25">
      <c r="E535" s="24"/>
      <c r="F535" s="24"/>
      <c r="G535" s="24"/>
      <c r="H535" s="24"/>
      <c r="L535" s="21"/>
      <c r="N535" s="26"/>
      <c r="O535" s="24"/>
      <c r="P535" s="24"/>
      <c r="Q535" s="26"/>
      <c r="R535" s="24"/>
    </row>
    <row r="536" spans="5:18" x14ac:dyDescent="0.25">
      <c r="E536" s="24"/>
      <c r="F536" s="24"/>
      <c r="G536" s="24"/>
      <c r="H536" s="24"/>
      <c r="L536" s="21"/>
      <c r="N536" s="26"/>
      <c r="O536" s="24"/>
      <c r="P536" s="24"/>
      <c r="Q536" s="26"/>
      <c r="R536" s="24"/>
    </row>
    <row r="537" spans="5:18" x14ac:dyDescent="0.25">
      <c r="E537" s="24"/>
      <c r="F537" s="24"/>
      <c r="G537" s="24"/>
      <c r="H537" s="24"/>
      <c r="L537" s="21"/>
      <c r="N537" s="26"/>
      <c r="O537" s="24"/>
      <c r="P537" s="24"/>
      <c r="Q537" s="26"/>
      <c r="R537" s="24"/>
    </row>
    <row r="538" spans="5:18" x14ac:dyDescent="0.25">
      <c r="E538" s="24"/>
      <c r="F538" s="24"/>
      <c r="G538" s="24"/>
      <c r="H538" s="24"/>
      <c r="L538" s="21"/>
      <c r="N538" s="26"/>
      <c r="O538" s="24"/>
      <c r="P538" s="24"/>
      <c r="Q538" s="26"/>
      <c r="R538" s="24"/>
    </row>
    <row r="539" spans="5:18" x14ac:dyDescent="0.25">
      <c r="E539" s="24"/>
      <c r="F539" s="24"/>
      <c r="G539" s="24"/>
      <c r="H539" s="24"/>
      <c r="L539" s="21"/>
      <c r="N539" s="26"/>
      <c r="O539" s="24"/>
      <c r="P539" s="24"/>
      <c r="Q539" s="26"/>
      <c r="R539" s="24"/>
    </row>
    <row r="540" spans="5:18" x14ac:dyDescent="0.25">
      <c r="E540" s="24"/>
      <c r="F540" s="24"/>
      <c r="G540" s="24"/>
      <c r="H540" s="24"/>
      <c r="L540" s="21"/>
      <c r="N540" s="26"/>
      <c r="O540" s="24"/>
      <c r="P540" s="24"/>
      <c r="Q540" s="26"/>
      <c r="R540" s="24"/>
    </row>
    <row r="541" spans="5:18" x14ac:dyDescent="0.25">
      <c r="E541" s="24"/>
      <c r="F541" s="24"/>
      <c r="G541" s="24"/>
      <c r="H541" s="24"/>
      <c r="L541" s="21"/>
      <c r="N541" s="26"/>
      <c r="O541" s="24"/>
      <c r="P541" s="24"/>
      <c r="Q541" s="26"/>
      <c r="R541" s="24"/>
    </row>
    <row r="542" spans="5:18" x14ac:dyDescent="0.25">
      <c r="E542" s="24"/>
      <c r="F542" s="24"/>
      <c r="G542" s="24"/>
      <c r="H542" s="24"/>
      <c r="L542" s="21"/>
      <c r="N542" s="26"/>
      <c r="O542" s="24"/>
      <c r="P542" s="24"/>
      <c r="Q542" s="26"/>
      <c r="R542" s="24"/>
    </row>
    <row r="543" spans="5:18" x14ac:dyDescent="0.25">
      <c r="E543" s="24"/>
      <c r="F543" s="24"/>
      <c r="G543" s="24"/>
      <c r="H543" s="24"/>
      <c r="L543" s="21"/>
      <c r="N543" s="26"/>
      <c r="O543" s="24"/>
      <c r="P543" s="24"/>
      <c r="Q543" s="26"/>
      <c r="R543" s="24"/>
    </row>
    <row r="544" spans="5:18" x14ac:dyDescent="0.25">
      <c r="E544" s="24"/>
      <c r="F544" s="24"/>
      <c r="G544" s="24"/>
      <c r="H544" s="24"/>
      <c r="L544" s="21"/>
      <c r="N544" s="26"/>
      <c r="O544" s="24"/>
      <c r="P544" s="24"/>
      <c r="Q544" s="26"/>
      <c r="R544" s="24"/>
    </row>
    <row r="545" spans="5:18" x14ac:dyDescent="0.25">
      <c r="E545" s="24"/>
      <c r="F545" s="24"/>
      <c r="G545" s="24"/>
      <c r="H545" s="24"/>
      <c r="L545" s="21"/>
      <c r="N545" s="26"/>
      <c r="O545" s="24"/>
      <c r="P545" s="24"/>
      <c r="Q545" s="26"/>
      <c r="R545" s="24"/>
    </row>
    <row r="546" spans="5:18" x14ac:dyDescent="0.25">
      <c r="E546" s="24"/>
      <c r="F546" s="24"/>
      <c r="G546" s="24"/>
      <c r="H546" s="24"/>
      <c r="L546" s="21"/>
      <c r="N546" s="26"/>
      <c r="O546" s="24"/>
      <c r="P546" s="24"/>
      <c r="Q546" s="26"/>
      <c r="R546" s="24"/>
    </row>
    <row r="547" spans="5:18" x14ac:dyDescent="0.25">
      <c r="E547" s="24"/>
      <c r="F547" s="24"/>
      <c r="G547" s="24"/>
      <c r="H547" s="24"/>
      <c r="L547" s="21"/>
      <c r="N547" s="26"/>
      <c r="O547" s="24"/>
      <c r="P547" s="24"/>
      <c r="Q547" s="26"/>
      <c r="R547" s="24"/>
    </row>
    <row r="548" spans="5:18" x14ac:dyDescent="0.25">
      <c r="E548" s="24"/>
      <c r="F548" s="24"/>
      <c r="G548" s="24"/>
      <c r="H548" s="24"/>
      <c r="L548" s="21"/>
      <c r="N548" s="26"/>
      <c r="O548" s="24"/>
      <c r="P548" s="24"/>
      <c r="Q548" s="26"/>
      <c r="R548" s="24"/>
    </row>
    <row r="549" spans="5:18" x14ac:dyDescent="0.25">
      <c r="E549" s="24"/>
      <c r="F549" s="24"/>
      <c r="G549" s="24"/>
      <c r="H549" s="24"/>
      <c r="L549" s="21"/>
      <c r="N549" s="26"/>
      <c r="O549" s="24"/>
      <c r="P549" s="24"/>
      <c r="Q549" s="26"/>
      <c r="R549" s="24"/>
    </row>
    <row r="550" spans="5:18" x14ac:dyDescent="0.25">
      <c r="E550" s="24"/>
      <c r="F550" s="24"/>
      <c r="G550" s="24"/>
      <c r="H550" s="24"/>
      <c r="L550" s="21"/>
      <c r="N550" s="26"/>
      <c r="O550" s="24"/>
      <c r="P550" s="24"/>
      <c r="Q550" s="26"/>
      <c r="R550" s="24"/>
    </row>
    <row r="551" spans="5:18" x14ac:dyDescent="0.25">
      <c r="E551" s="24"/>
      <c r="F551" s="24"/>
      <c r="G551" s="24"/>
      <c r="H551" s="24"/>
      <c r="L551" s="21"/>
      <c r="N551" s="26"/>
      <c r="O551" s="24"/>
      <c r="P551" s="24"/>
      <c r="Q551" s="26"/>
      <c r="R551" s="24"/>
    </row>
    <row r="552" spans="5:18" x14ac:dyDescent="0.25">
      <c r="E552" s="24"/>
      <c r="F552" s="24"/>
      <c r="G552" s="24"/>
      <c r="H552" s="24"/>
      <c r="L552" s="21"/>
      <c r="N552" s="26"/>
      <c r="O552" s="24"/>
      <c r="P552" s="24"/>
      <c r="Q552" s="26"/>
      <c r="R552" s="24"/>
    </row>
    <row r="553" spans="5:18" x14ac:dyDescent="0.25">
      <c r="E553" s="24"/>
      <c r="F553" s="24"/>
      <c r="G553" s="24"/>
      <c r="H553" s="24"/>
      <c r="L553" s="21"/>
      <c r="N553" s="26"/>
      <c r="O553" s="24"/>
      <c r="P553" s="24"/>
      <c r="Q553" s="26"/>
      <c r="R553" s="24"/>
    </row>
    <row r="554" spans="5:18" x14ac:dyDescent="0.25">
      <c r="E554" s="24"/>
      <c r="F554" s="24"/>
      <c r="G554" s="24"/>
      <c r="H554" s="24"/>
      <c r="L554" s="21"/>
      <c r="N554" s="26"/>
      <c r="O554" s="24"/>
      <c r="P554" s="24"/>
      <c r="Q554" s="26"/>
      <c r="R554" s="24"/>
    </row>
    <row r="555" spans="5:18" x14ac:dyDescent="0.25">
      <c r="E555" s="24"/>
      <c r="F555" s="24"/>
      <c r="G555" s="24"/>
      <c r="H555" s="24"/>
      <c r="L555" s="21"/>
      <c r="N555" s="26"/>
      <c r="O555" s="24"/>
      <c r="P555" s="24"/>
      <c r="Q555" s="26"/>
      <c r="R555" s="24"/>
    </row>
    <row r="556" spans="5:18" x14ac:dyDescent="0.25">
      <c r="E556" s="24"/>
      <c r="F556" s="24"/>
      <c r="G556" s="24"/>
      <c r="H556" s="24"/>
      <c r="L556" s="21"/>
      <c r="N556" s="26"/>
      <c r="O556" s="24"/>
      <c r="P556" s="24"/>
      <c r="Q556" s="26"/>
      <c r="R556" s="24"/>
    </row>
    <row r="557" spans="5:18" x14ac:dyDescent="0.25">
      <c r="E557" s="24"/>
      <c r="F557" s="24"/>
      <c r="G557" s="24"/>
      <c r="H557" s="24"/>
      <c r="L557" s="21"/>
      <c r="N557" s="26"/>
      <c r="O557" s="24"/>
      <c r="P557" s="24"/>
      <c r="Q557" s="26"/>
      <c r="R557" s="24"/>
    </row>
    <row r="558" spans="5:18" x14ac:dyDescent="0.25">
      <c r="E558" s="24"/>
      <c r="F558" s="24"/>
      <c r="G558" s="24"/>
      <c r="H558" s="24"/>
      <c r="L558" s="21"/>
      <c r="N558" s="26"/>
      <c r="O558" s="24"/>
      <c r="P558" s="24"/>
      <c r="Q558" s="26"/>
      <c r="R558" s="24"/>
    </row>
    <row r="559" spans="5:18" x14ac:dyDescent="0.25">
      <c r="E559" s="24"/>
      <c r="F559" s="24"/>
      <c r="G559" s="24"/>
      <c r="H559" s="24"/>
      <c r="L559" s="21"/>
      <c r="N559" s="26"/>
      <c r="O559" s="24"/>
      <c r="P559" s="24"/>
      <c r="Q559" s="26"/>
      <c r="R559" s="24"/>
    </row>
    <row r="560" spans="5:18" x14ac:dyDescent="0.25">
      <c r="E560" s="24"/>
      <c r="F560" s="24"/>
      <c r="G560" s="24"/>
      <c r="H560" s="24"/>
      <c r="L560" s="21"/>
      <c r="N560" s="26"/>
      <c r="O560" s="24"/>
      <c r="P560" s="24"/>
      <c r="Q560" s="26"/>
      <c r="R560" s="24"/>
    </row>
    <row r="561" spans="5:18" x14ac:dyDescent="0.25">
      <c r="E561" s="24"/>
      <c r="F561" s="24"/>
      <c r="G561" s="24"/>
      <c r="H561" s="24"/>
      <c r="L561" s="21"/>
      <c r="N561" s="26"/>
      <c r="O561" s="24"/>
      <c r="P561" s="24"/>
      <c r="Q561" s="26"/>
      <c r="R561" s="24"/>
    </row>
    <row r="562" spans="5:18" x14ac:dyDescent="0.25">
      <c r="E562" s="24"/>
      <c r="F562" s="24"/>
      <c r="G562" s="24"/>
      <c r="H562" s="24"/>
      <c r="L562" s="21"/>
      <c r="N562" s="26"/>
      <c r="O562" s="24"/>
      <c r="P562" s="24"/>
      <c r="Q562" s="26"/>
      <c r="R562" s="24"/>
    </row>
    <row r="563" spans="5:18" x14ac:dyDescent="0.25">
      <c r="E563" s="24"/>
      <c r="F563" s="24"/>
      <c r="G563" s="24"/>
      <c r="H563" s="24"/>
      <c r="L563" s="21"/>
      <c r="N563" s="26"/>
      <c r="O563" s="24"/>
      <c r="P563" s="24"/>
      <c r="Q563" s="26"/>
      <c r="R563" s="24"/>
    </row>
    <row r="564" spans="5:18" x14ac:dyDescent="0.25">
      <c r="E564" s="24"/>
      <c r="F564" s="24"/>
      <c r="G564" s="24"/>
      <c r="H564" s="24"/>
      <c r="L564" s="21"/>
      <c r="N564" s="26"/>
      <c r="O564" s="24"/>
      <c r="P564" s="24"/>
      <c r="Q564" s="26"/>
      <c r="R564" s="24"/>
    </row>
    <row r="565" spans="5:18" x14ac:dyDescent="0.25">
      <c r="E565" s="24"/>
      <c r="F565" s="24"/>
      <c r="G565" s="24"/>
      <c r="H565" s="24"/>
      <c r="L565" s="21"/>
      <c r="N565" s="26"/>
      <c r="O565" s="24"/>
      <c r="P565" s="24"/>
      <c r="Q565" s="26"/>
      <c r="R565" s="24"/>
    </row>
    <row r="566" spans="5:18" x14ac:dyDescent="0.25">
      <c r="E566" s="24"/>
      <c r="F566" s="24"/>
      <c r="G566" s="24"/>
      <c r="H566" s="24"/>
      <c r="L566" s="21"/>
      <c r="N566" s="26"/>
      <c r="O566" s="24"/>
      <c r="P566" s="24"/>
      <c r="Q566" s="26"/>
      <c r="R566" s="24"/>
    </row>
    <row r="567" spans="5:18" x14ac:dyDescent="0.25">
      <c r="E567" s="24"/>
      <c r="F567" s="24"/>
      <c r="G567" s="24"/>
      <c r="H567" s="24"/>
      <c r="L567" s="21"/>
      <c r="N567" s="26"/>
      <c r="O567" s="24"/>
      <c r="P567" s="24"/>
      <c r="Q567" s="26"/>
      <c r="R567" s="24"/>
    </row>
    <row r="568" spans="5:18" x14ac:dyDescent="0.25">
      <c r="E568" s="24"/>
      <c r="F568" s="24"/>
      <c r="G568" s="24"/>
      <c r="H568" s="24"/>
      <c r="L568" s="21"/>
      <c r="N568" s="26"/>
      <c r="O568" s="24"/>
      <c r="P568" s="24"/>
      <c r="Q568" s="26"/>
      <c r="R568" s="24"/>
    </row>
    <row r="569" spans="5:18" x14ac:dyDescent="0.25">
      <c r="E569" s="24"/>
      <c r="F569" s="24"/>
      <c r="G569" s="24"/>
      <c r="H569" s="24"/>
      <c r="L569" s="21"/>
      <c r="N569" s="26"/>
      <c r="O569" s="24"/>
      <c r="P569" s="24"/>
      <c r="Q569" s="26"/>
      <c r="R569" s="24"/>
    </row>
    <row r="570" spans="5:18" x14ac:dyDescent="0.25">
      <c r="E570" s="24"/>
      <c r="F570" s="24"/>
      <c r="G570" s="24"/>
      <c r="H570" s="24"/>
      <c r="L570" s="21"/>
      <c r="N570" s="26"/>
      <c r="O570" s="24"/>
      <c r="P570" s="24"/>
      <c r="Q570" s="26"/>
      <c r="R570" s="24"/>
    </row>
    <row r="571" spans="5:18" x14ac:dyDescent="0.25">
      <c r="E571" s="24"/>
      <c r="F571" s="24"/>
      <c r="G571" s="24"/>
      <c r="H571" s="24"/>
      <c r="L571" s="21"/>
      <c r="N571" s="26"/>
      <c r="O571" s="24"/>
      <c r="P571" s="24"/>
      <c r="Q571" s="26"/>
      <c r="R571" s="24"/>
    </row>
    <row r="572" spans="5:18" x14ac:dyDescent="0.25">
      <c r="E572" s="24"/>
      <c r="F572" s="24"/>
      <c r="G572" s="24"/>
      <c r="H572" s="24"/>
      <c r="L572" s="21"/>
      <c r="N572" s="26"/>
      <c r="O572" s="24"/>
      <c r="P572" s="24"/>
      <c r="Q572" s="26"/>
      <c r="R572" s="24"/>
    </row>
    <row r="573" spans="5:18" x14ac:dyDescent="0.25">
      <c r="E573" s="24"/>
      <c r="F573" s="24"/>
      <c r="G573" s="24"/>
      <c r="H573" s="24"/>
      <c r="L573" s="21"/>
      <c r="N573" s="26"/>
      <c r="O573" s="24"/>
      <c r="P573" s="24"/>
      <c r="Q573" s="26"/>
      <c r="R573" s="24"/>
    </row>
    <row r="574" spans="5:18" x14ac:dyDescent="0.25">
      <c r="E574" s="24"/>
      <c r="F574" s="24"/>
      <c r="G574" s="24"/>
      <c r="H574" s="24"/>
      <c r="L574" s="21"/>
      <c r="N574" s="26"/>
      <c r="O574" s="24"/>
      <c r="P574" s="24"/>
      <c r="Q574" s="26"/>
      <c r="R574" s="24"/>
    </row>
    <row r="575" spans="5:18" x14ac:dyDescent="0.25">
      <c r="E575" s="24"/>
      <c r="F575" s="24"/>
      <c r="G575" s="24"/>
      <c r="H575" s="24"/>
      <c r="L575" s="21"/>
      <c r="N575" s="26"/>
      <c r="O575" s="24"/>
      <c r="P575" s="24"/>
      <c r="Q575" s="26"/>
      <c r="R575" s="24"/>
    </row>
    <row r="576" spans="5:18" x14ac:dyDescent="0.25">
      <c r="E576" s="24"/>
      <c r="F576" s="24"/>
      <c r="G576" s="24"/>
      <c r="H576" s="24"/>
      <c r="L576" s="21"/>
      <c r="N576" s="26"/>
      <c r="O576" s="24"/>
      <c r="P576" s="24"/>
      <c r="Q576" s="26"/>
      <c r="R576" s="24"/>
    </row>
    <row r="577" spans="5:18" x14ac:dyDescent="0.25">
      <c r="E577" s="24"/>
      <c r="F577" s="24"/>
      <c r="G577" s="24"/>
      <c r="H577" s="24"/>
      <c r="L577" s="21"/>
      <c r="N577" s="26"/>
      <c r="O577" s="24"/>
      <c r="P577" s="24"/>
      <c r="Q577" s="26"/>
      <c r="R577" s="24"/>
    </row>
    <row r="578" spans="5:18" x14ac:dyDescent="0.25">
      <c r="E578" s="24"/>
      <c r="F578" s="24"/>
      <c r="G578" s="24"/>
      <c r="H578" s="24"/>
      <c r="L578" s="21"/>
      <c r="N578" s="26"/>
      <c r="O578" s="24"/>
      <c r="P578" s="24"/>
      <c r="Q578" s="26"/>
      <c r="R578" s="24"/>
    </row>
    <row r="579" spans="5:18" x14ac:dyDescent="0.25">
      <c r="E579" s="24"/>
      <c r="F579" s="24"/>
      <c r="G579" s="24"/>
      <c r="H579" s="24"/>
      <c r="L579" s="21"/>
      <c r="N579" s="26"/>
      <c r="O579" s="24"/>
      <c r="P579" s="24"/>
      <c r="Q579" s="26"/>
      <c r="R579" s="24"/>
    </row>
    <row r="580" spans="5:18" x14ac:dyDescent="0.25">
      <c r="E580" s="24"/>
      <c r="F580" s="24"/>
      <c r="G580" s="24"/>
      <c r="H580" s="24"/>
      <c r="L580" s="21"/>
      <c r="N580" s="26"/>
      <c r="O580" s="24"/>
      <c r="P580" s="24"/>
      <c r="Q580" s="26"/>
      <c r="R580" s="24"/>
    </row>
    <row r="581" spans="5:18" x14ac:dyDescent="0.25">
      <c r="E581" s="24"/>
      <c r="F581" s="24"/>
      <c r="G581" s="24"/>
      <c r="H581" s="24"/>
      <c r="L581" s="21"/>
      <c r="N581" s="26"/>
      <c r="O581" s="24"/>
      <c r="P581" s="24"/>
      <c r="Q581" s="26"/>
      <c r="R581" s="24"/>
    </row>
    <row r="582" spans="5:18" x14ac:dyDescent="0.25">
      <c r="E582" s="24"/>
      <c r="F582" s="24"/>
      <c r="G582" s="24"/>
      <c r="H582" s="24"/>
      <c r="L582" s="21"/>
      <c r="N582" s="26"/>
      <c r="O582" s="24"/>
      <c r="P582" s="24"/>
      <c r="Q582" s="26"/>
      <c r="R582" s="24"/>
    </row>
    <row r="583" spans="5:18" x14ac:dyDescent="0.25">
      <c r="E583" s="24"/>
      <c r="F583" s="24"/>
      <c r="G583" s="24"/>
      <c r="H583" s="24"/>
      <c r="L583" s="21"/>
      <c r="N583" s="26"/>
      <c r="O583" s="24"/>
      <c r="P583" s="24"/>
      <c r="Q583" s="26"/>
      <c r="R583" s="24"/>
    </row>
    <row r="584" spans="5:18" x14ac:dyDescent="0.25">
      <c r="E584" s="24"/>
      <c r="F584" s="24"/>
      <c r="G584" s="24"/>
      <c r="H584" s="24"/>
      <c r="L584" s="21"/>
      <c r="N584" s="26"/>
      <c r="O584" s="24"/>
      <c r="P584" s="24"/>
      <c r="Q584" s="26"/>
      <c r="R584" s="24"/>
    </row>
    <row r="585" spans="5:18" x14ac:dyDescent="0.25">
      <c r="E585" s="24"/>
      <c r="F585" s="24"/>
      <c r="G585" s="24"/>
      <c r="H585" s="24"/>
      <c r="L585" s="21"/>
      <c r="N585" s="26"/>
      <c r="O585" s="24"/>
      <c r="P585" s="24"/>
      <c r="Q585" s="26"/>
      <c r="R585" s="24"/>
    </row>
    <row r="586" spans="5:18" x14ac:dyDescent="0.25">
      <c r="E586" s="24"/>
      <c r="F586" s="24"/>
      <c r="G586" s="24"/>
      <c r="H586" s="24"/>
      <c r="L586" s="21"/>
      <c r="N586" s="26"/>
      <c r="O586" s="24"/>
      <c r="P586" s="24"/>
      <c r="Q586" s="26"/>
      <c r="R586" s="24"/>
    </row>
    <row r="587" spans="5:18" x14ac:dyDescent="0.25">
      <c r="E587" s="24"/>
      <c r="F587" s="24"/>
      <c r="G587" s="24"/>
      <c r="H587" s="24"/>
      <c r="L587" s="21"/>
      <c r="N587" s="26"/>
      <c r="O587" s="24"/>
      <c r="P587" s="24"/>
      <c r="Q587" s="26"/>
      <c r="R587" s="24"/>
    </row>
    <row r="588" spans="5:18" x14ac:dyDescent="0.25">
      <c r="E588" s="24"/>
      <c r="F588" s="24"/>
      <c r="G588" s="24"/>
      <c r="H588" s="24"/>
      <c r="L588" s="21"/>
      <c r="N588" s="26"/>
      <c r="O588" s="24"/>
      <c r="P588" s="24"/>
      <c r="Q588" s="26"/>
      <c r="R588" s="24"/>
    </row>
    <row r="589" spans="5:18" x14ac:dyDescent="0.25">
      <c r="E589" s="24"/>
      <c r="F589" s="24"/>
      <c r="G589" s="24"/>
      <c r="H589" s="24"/>
      <c r="L589" s="21"/>
      <c r="N589" s="26"/>
      <c r="O589" s="24"/>
      <c r="P589" s="24"/>
      <c r="Q589" s="26"/>
      <c r="R589" s="24"/>
    </row>
    <row r="590" spans="5:18" x14ac:dyDescent="0.25">
      <c r="E590" s="24"/>
      <c r="F590" s="24"/>
      <c r="G590" s="24"/>
      <c r="H590" s="24"/>
      <c r="L590" s="21"/>
      <c r="N590" s="26"/>
      <c r="O590" s="24"/>
      <c r="P590" s="24"/>
      <c r="Q590" s="26"/>
      <c r="R590" s="24"/>
    </row>
    <row r="591" spans="5:18" x14ac:dyDescent="0.25">
      <c r="E591" s="24"/>
      <c r="F591" s="24"/>
      <c r="G591" s="24"/>
      <c r="H591" s="24"/>
      <c r="L591" s="21"/>
      <c r="N591" s="26"/>
      <c r="O591" s="24"/>
      <c r="P591" s="24"/>
      <c r="Q591" s="26"/>
      <c r="R591" s="24"/>
    </row>
    <row r="592" spans="5:18" x14ac:dyDescent="0.25">
      <c r="E592" s="24"/>
      <c r="F592" s="24"/>
      <c r="G592" s="24"/>
      <c r="H592" s="24"/>
      <c r="L592" s="21"/>
      <c r="N592" s="26"/>
      <c r="O592" s="24"/>
      <c r="P592" s="24"/>
      <c r="Q592" s="26"/>
      <c r="R592" s="24"/>
    </row>
    <row r="593" spans="5:18" x14ac:dyDescent="0.25">
      <c r="E593" s="24"/>
      <c r="F593" s="24"/>
      <c r="G593" s="24"/>
      <c r="H593" s="24"/>
      <c r="L593" s="21"/>
      <c r="N593" s="26"/>
      <c r="O593" s="24"/>
      <c r="P593" s="24"/>
      <c r="Q593" s="26"/>
      <c r="R593" s="24"/>
    </row>
    <row r="594" spans="5:18" x14ac:dyDescent="0.25">
      <c r="E594" s="24"/>
      <c r="F594" s="24"/>
      <c r="G594" s="24"/>
      <c r="H594" s="24"/>
      <c r="L594" s="21"/>
      <c r="N594" s="26"/>
      <c r="O594" s="24"/>
      <c r="P594" s="24"/>
      <c r="Q594" s="26"/>
      <c r="R594" s="24"/>
    </row>
    <row r="595" spans="5:18" x14ac:dyDescent="0.25">
      <c r="E595" s="24"/>
      <c r="F595" s="24"/>
      <c r="G595" s="24"/>
      <c r="H595" s="24"/>
      <c r="L595" s="21"/>
      <c r="N595" s="26"/>
      <c r="O595" s="24"/>
      <c r="P595" s="24"/>
      <c r="Q595" s="26"/>
      <c r="R595" s="24"/>
    </row>
    <row r="596" spans="5:18" x14ac:dyDescent="0.25">
      <c r="E596" s="24"/>
      <c r="F596" s="24"/>
      <c r="G596" s="24"/>
      <c r="H596" s="24"/>
      <c r="L596" s="21"/>
      <c r="N596" s="26"/>
      <c r="O596" s="24"/>
      <c r="P596" s="24"/>
      <c r="Q596" s="26"/>
      <c r="R596" s="24"/>
    </row>
    <row r="597" spans="5:18" x14ac:dyDescent="0.25">
      <c r="E597" s="24"/>
      <c r="F597" s="24"/>
      <c r="G597" s="24"/>
      <c r="H597" s="24"/>
      <c r="L597" s="21"/>
      <c r="N597" s="26"/>
      <c r="O597" s="24"/>
      <c r="P597" s="24"/>
      <c r="Q597" s="26"/>
      <c r="R597" s="24"/>
    </row>
    <row r="598" spans="5:18" x14ac:dyDescent="0.25">
      <c r="E598" s="24"/>
      <c r="F598" s="24"/>
      <c r="G598" s="24"/>
      <c r="H598" s="24"/>
      <c r="L598" s="21"/>
      <c r="N598" s="26"/>
      <c r="O598" s="24"/>
      <c r="P598" s="24"/>
      <c r="Q598" s="26"/>
      <c r="R598" s="24"/>
    </row>
    <row r="599" spans="5:18" x14ac:dyDescent="0.25">
      <c r="E599" s="24"/>
      <c r="F599" s="24"/>
      <c r="G599" s="24"/>
      <c r="H599" s="24"/>
      <c r="L599" s="21"/>
      <c r="N599" s="26"/>
      <c r="O599" s="24"/>
      <c r="P599" s="24"/>
      <c r="Q599" s="26"/>
      <c r="R599" s="24"/>
    </row>
    <row r="600" spans="5:18" x14ac:dyDescent="0.25">
      <c r="E600" s="24"/>
      <c r="F600" s="24"/>
      <c r="G600" s="24"/>
      <c r="H600" s="24"/>
      <c r="L600" s="21"/>
      <c r="N600" s="26"/>
      <c r="O600" s="24"/>
      <c r="P600" s="24"/>
      <c r="Q600" s="26"/>
      <c r="R600" s="24"/>
    </row>
    <row r="601" spans="5:18" x14ac:dyDescent="0.25">
      <c r="E601" s="24"/>
      <c r="F601" s="24"/>
      <c r="G601" s="24"/>
      <c r="H601" s="24"/>
      <c r="L601" s="21"/>
      <c r="N601" s="26"/>
      <c r="O601" s="24"/>
      <c r="P601" s="24"/>
      <c r="Q601" s="26"/>
      <c r="R601" s="24"/>
    </row>
    <row r="602" spans="5:18" x14ac:dyDescent="0.25">
      <c r="E602" s="24"/>
      <c r="F602" s="24"/>
      <c r="G602" s="24"/>
      <c r="H602" s="24"/>
      <c r="L602" s="21"/>
      <c r="N602" s="26"/>
      <c r="O602" s="24"/>
      <c r="P602" s="24"/>
      <c r="Q602" s="26"/>
      <c r="R602" s="24"/>
    </row>
    <row r="603" spans="5:18" x14ac:dyDescent="0.25">
      <c r="E603" s="24"/>
      <c r="F603" s="24"/>
      <c r="G603" s="24"/>
      <c r="H603" s="24"/>
      <c r="L603" s="21"/>
      <c r="N603" s="26"/>
      <c r="O603" s="24"/>
      <c r="P603" s="24"/>
      <c r="Q603" s="26"/>
      <c r="R603" s="24"/>
    </row>
    <row r="604" spans="5:18" x14ac:dyDescent="0.25">
      <c r="E604" s="24"/>
      <c r="F604" s="24"/>
      <c r="G604" s="24"/>
      <c r="H604" s="24"/>
      <c r="L604" s="21"/>
      <c r="N604" s="26"/>
      <c r="O604" s="24"/>
      <c r="P604" s="24"/>
      <c r="Q604" s="26"/>
      <c r="R604" s="24"/>
    </row>
    <row r="605" spans="5:18" x14ac:dyDescent="0.25">
      <c r="E605" s="24"/>
      <c r="F605" s="24"/>
      <c r="G605" s="24"/>
      <c r="H605" s="24"/>
      <c r="L605" s="21"/>
      <c r="N605" s="26"/>
      <c r="O605" s="24"/>
      <c r="P605" s="24"/>
      <c r="Q605" s="26"/>
      <c r="R605" s="24"/>
    </row>
    <row r="606" spans="5:18" x14ac:dyDescent="0.25">
      <c r="E606" s="24"/>
      <c r="F606" s="24"/>
      <c r="G606" s="24"/>
      <c r="H606" s="24"/>
      <c r="L606" s="21"/>
      <c r="N606" s="26"/>
      <c r="O606" s="24"/>
      <c r="P606" s="24"/>
      <c r="Q606" s="26"/>
      <c r="R606" s="24"/>
    </row>
    <row r="607" spans="5:18" x14ac:dyDescent="0.25">
      <c r="E607" s="24"/>
      <c r="F607" s="24"/>
      <c r="G607" s="24"/>
      <c r="H607" s="24"/>
      <c r="L607" s="21"/>
      <c r="N607" s="26"/>
      <c r="O607" s="24"/>
      <c r="P607" s="24"/>
      <c r="Q607" s="26"/>
      <c r="R607" s="24"/>
    </row>
    <row r="608" spans="5:18" x14ac:dyDescent="0.25">
      <c r="E608" s="24"/>
      <c r="F608" s="24"/>
      <c r="G608" s="24"/>
      <c r="H608" s="24"/>
      <c r="L608" s="21"/>
      <c r="N608" s="26"/>
      <c r="O608" s="24"/>
      <c r="P608" s="24"/>
      <c r="Q608" s="26"/>
      <c r="R608" s="24"/>
    </row>
    <row r="609" spans="5:18" x14ac:dyDescent="0.25">
      <c r="E609" s="24"/>
      <c r="F609" s="24"/>
      <c r="G609" s="24"/>
      <c r="H609" s="24"/>
      <c r="L609" s="21"/>
      <c r="N609" s="26"/>
      <c r="O609" s="24"/>
      <c r="P609" s="24"/>
      <c r="Q609" s="26"/>
      <c r="R609" s="24"/>
    </row>
    <row r="610" spans="5:18" x14ac:dyDescent="0.25">
      <c r="E610" s="24"/>
      <c r="F610" s="24"/>
      <c r="G610" s="24"/>
      <c r="H610" s="24"/>
      <c r="L610" s="21"/>
      <c r="N610" s="26"/>
      <c r="O610" s="24"/>
      <c r="P610" s="24"/>
      <c r="Q610" s="26"/>
      <c r="R610" s="24"/>
    </row>
    <row r="611" spans="5:18" x14ac:dyDescent="0.25">
      <c r="E611" s="24"/>
      <c r="F611" s="24"/>
      <c r="G611" s="24"/>
      <c r="H611" s="24"/>
      <c r="L611" s="21"/>
      <c r="N611" s="26"/>
      <c r="O611" s="24"/>
      <c r="P611" s="24"/>
      <c r="Q611" s="26"/>
      <c r="R611" s="24"/>
    </row>
    <row r="612" spans="5:18" x14ac:dyDescent="0.25">
      <c r="E612" s="24"/>
      <c r="F612" s="24"/>
      <c r="G612" s="24"/>
      <c r="H612" s="24"/>
      <c r="L612" s="21"/>
      <c r="N612" s="26"/>
      <c r="O612" s="24"/>
      <c r="P612" s="24"/>
      <c r="Q612" s="26"/>
      <c r="R612" s="24"/>
    </row>
    <row r="613" spans="5:18" x14ac:dyDescent="0.25">
      <c r="E613" s="24"/>
      <c r="F613" s="24"/>
      <c r="G613" s="24"/>
      <c r="H613" s="24"/>
      <c r="L613" s="21"/>
      <c r="N613" s="26"/>
      <c r="O613" s="24"/>
      <c r="P613" s="24"/>
      <c r="Q613" s="26"/>
      <c r="R613" s="24"/>
    </row>
    <row r="614" spans="5:18" x14ac:dyDescent="0.25">
      <c r="E614" s="24"/>
      <c r="F614" s="24"/>
      <c r="G614" s="24"/>
      <c r="H614" s="24"/>
      <c r="L614" s="21"/>
      <c r="N614" s="26"/>
      <c r="O614" s="24"/>
      <c r="P614" s="24"/>
      <c r="Q614" s="26"/>
      <c r="R614" s="24"/>
    </row>
    <row r="615" spans="5:18" x14ac:dyDescent="0.25">
      <c r="E615" s="24"/>
      <c r="F615" s="24"/>
      <c r="G615" s="24"/>
      <c r="H615" s="24"/>
      <c r="L615" s="21"/>
      <c r="N615" s="26"/>
      <c r="O615" s="24"/>
      <c r="P615" s="24"/>
      <c r="Q615" s="26"/>
      <c r="R615" s="24"/>
    </row>
    <row r="616" spans="5:18" x14ac:dyDescent="0.25">
      <c r="E616" s="24"/>
      <c r="F616" s="24"/>
      <c r="G616" s="24"/>
      <c r="H616" s="24"/>
      <c r="L616" s="21"/>
      <c r="N616" s="26"/>
      <c r="O616" s="24"/>
      <c r="P616" s="24"/>
      <c r="Q616" s="26"/>
      <c r="R616" s="24"/>
    </row>
    <row r="617" spans="5:18" x14ac:dyDescent="0.25">
      <c r="E617" s="24"/>
      <c r="F617" s="24"/>
      <c r="G617" s="24"/>
      <c r="H617" s="24"/>
      <c r="L617" s="21"/>
      <c r="N617" s="26"/>
      <c r="O617" s="24"/>
      <c r="P617" s="24"/>
      <c r="Q617" s="26"/>
      <c r="R617" s="24"/>
    </row>
    <row r="618" spans="5:18" x14ac:dyDescent="0.25">
      <c r="E618" s="24"/>
      <c r="F618" s="24"/>
      <c r="G618" s="24"/>
      <c r="H618" s="24"/>
      <c r="L618" s="21"/>
      <c r="N618" s="26"/>
      <c r="O618" s="24"/>
      <c r="P618" s="24"/>
      <c r="Q618" s="26"/>
      <c r="R618" s="24"/>
    </row>
    <row r="619" spans="5:18" x14ac:dyDescent="0.25">
      <c r="E619" s="24"/>
      <c r="F619" s="24"/>
      <c r="G619" s="24"/>
      <c r="H619" s="24"/>
      <c r="L619" s="21"/>
      <c r="N619" s="26"/>
      <c r="O619" s="24"/>
      <c r="P619" s="24"/>
      <c r="Q619" s="26"/>
      <c r="R619" s="24"/>
    </row>
    <row r="620" spans="5:18" x14ac:dyDescent="0.25">
      <c r="E620" s="24"/>
      <c r="F620" s="24"/>
      <c r="G620" s="24"/>
      <c r="H620" s="24"/>
      <c r="L620" s="21"/>
      <c r="N620" s="26"/>
      <c r="O620" s="24"/>
      <c r="P620" s="24"/>
      <c r="Q620" s="26"/>
      <c r="R620" s="24"/>
    </row>
    <row r="621" spans="5:18" x14ac:dyDescent="0.25">
      <c r="E621" s="24"/>
      <c r="F621" s="24"/>
      <c r="G621" s="24"/>
      <c r="H621" s="24"/>
      <c r="L621" s="21"/>
      <c r="N621" s="26"/>
      <c r="O621" s="24"/>
      <c r="P621" s="24"/>
      <c r="Q621" s="26"/>
      <c r="R621" s="24"/>
    </row>
    <row r="622" spans="5:18" x14ac:dyDescent="0.25">
      <c r="E622" s="24"/>
      <c r="F622" s="24"/>
      <c r="G622" s="24"/>
      <c r="H622" s="24"/>
      <c r="L622" s="21"/>
      <c r="N622" s="26"/>
      <c r="O622" s="24"/>
      <c r="P622" s="24"/>
      <c r="Q622" s="26"/>
      <c r="R622" s="24"/>
    </row>
    <row r="623" spans="5:18" x14ac:dyDescent="0.25">
      <c r="E623" s="24"/>
      <c r="F623" s="24"/>
      <c r="G623" s="24"/>
      <c r="H623" s="24"/>
      <c r="L623" s="21"/>
      <c r="N623" s="26"/>
      <c r="O623" s="24"/>
      <c r="P623" s="24"/>
      <c r="Q623" s="26"/>
      <c r="R623" s="24"/>
    </row>
    <row r="624" spans="5:18" x14ac:dyDescent="0.25">
      <c r="E624" s="24"/>
      <c r="F624" s="24"/>
      <c r="G624" s="24"/>
      <c r="H624" s="24"/>
      <c r="L624" s="21"/>
      <c r="N624" s="26"/>
      <c r="O624" s="24"/>
      <c r="P624" s="24"/>
      <c r="Q624" s="26"/>
      <c r="R624" s="24"/>
    </row>
    <row r="625" spans="5:18" x14ac:dyDescent="0.25">
      <c r="E625" s="24"/>
      <c r="F625" s="24"/>
      <c r="G625" s="24"/>
      <c r="H625" s="24"/>
      <c r="L625" s="21"/>
      <c r="N625" s="26"/>
      <c r="O625" s="24"/>
      <c r="P625" s="24"/>
      <c r="Q625" s="26"/>
      <c r="R625" s="24"/>
    </row>
    <row r="626" spans="5:18" x14ac:dyDescent="0.25">
      <c r="E626" s="24"/>
      <c r="F626" s="24"/>
      <c r="G626" s="24"/>
      <c r="H626" s="24"/>
      <c r="L626" s="21"/>
      <c r="N626" s="26"/>
      <c r="O626" s="24"/>
      <c r="P626" s="24"/>
      <c r="Q626" s="26"/>
      <c r="R626" s="24"/>
    </row>
    <row r="627" spans="5:18" x14ac:dyDescent="0.25">
      <c r="E627" s="24"/>
      <c r="F627" s="24"/>
      <c r="G627" s="24"/>
      <c r="H627" s="24"/>
      <c r="L627" s="21"/>
      <c r="N627" s="26"/>
      <c r="O627" s="24"/>
      <c r="P627" s="24"/>
      <c r="Q627" s="26"/>
      <c r="R627" s="24"/>
    </row>
    <row r="628" spans="5:18" x14ac:dyDescent="0.25">
      <c r="E628" s="24"/>
      <c r="F628" s="24"/>
      <c r="G628" s="24"/>
      <c r="H628" s="24"/>
      <c r="L628" s="21"/>
      <c r="N628" s="26"/>
      <c r="O628" s="24"/>
      <c r="P628" s="24"/>
      <c r="Q628" s="26"/>
      <c r="R628" s="24"/>
    </row>
    <row r="629" spans="5:18" x14ac:dyDescent="0.25">
      <c r="E629" s="24"/>
      <c r="F629" s="24"/>
      <c r="G629" s="24"/>
      <c r="H629" s="24"/>
      <c r="L629" s="21"/>
      <c r="N629" s="26"/>
      <c r="O629" s="24"/>
      <c r="P629" s="24"/>
      <c r="Q629" s="26"/>
      <c r="R629" s="24"/>
    </row>
    <row r="630" spans="5:18" x14ac:dyDescent="0.25">
      <c r="E630" s="24"/>
      <c r="F630" s="24"/>
      <c r="G630" s="24"/>
      <c r="H630" s="24"/>
      <c r="L630" s="21"/>
      <c r="N630" s="26"/>
      <c r="O630" s="24"/>
      <c r="P630" s="24"/>
      <c r="Q630" s="26"/>
      <c r="R630" s="24"/>
    </row>
    <row r="631" spans="5:18" x14ac:dyDescent="0.25">
      <c r="E631" s="24"/>
      <c r="F631" s="24"/>
      <c r="G631" s="24"/>
      <c r="H631" s="24"/>
      <c r="L631" s="21"/>
      <c r="N631" s="26"/>
      <c r="O631" s="24"/>
      <c r="P631" s="24"/>
      <c r="Q631" s="26"/>
      <c r="R631" s="24"/>
    </row>
    <row r="632" spans="5:18" x14ac:dyDescent="0.25">
      <c r="E632" s="24"/>
      <c r="F632" s="24"/>
      <c r="G632" s="24"/>
      <c r="H632" s="24"/>
      <c r="L632" s="21"/>
      <c r="N632" s="26"/>
      <c r="O632" s="24"/>
      <c r="P632" s="24"/>
      <c r="Q632" s="26"/>
      <c r="R632" s="24"/>
    </row>
    <row r="633" spans="5:18" x14ac:dyDescent="0.25">
      <c r="E633" s="24"/>
      <c r="F633" s="24"/>
      <c r="G633" s="24"/>
      <c r="H633" s="24"/>
      <c r="L633" s="21"/>
      <c r="N633" s="26"/>
      <c r="O633" s="24"/>
      <c r="P633" s="24"/>
      <c r="Q633" s="26"/>
      <c r="R633" s="24"/>
    </row>
    <row r="634" spans="5:18" x14ac:dyDescent="0.25">
      <c r="E634" s="24"/>
      <c r="F634" s="24"/>
      <c r="G634" s="24"/>
      <c r="H634" s="24"/>
      <c r="L634" s="21"/>
      <c r="N634" s="26"/>
      <c r="O634" s="24"/>
      <c r="P634" s="24"/>
      <c r="Q634" s="26"/>
      <c r="R634" s="24"/>
    </row>
    <row r="635" spans="5:18" x14ac:dyDescent="0.25">
      <c r="E635" s="24"/>
      <c r="F635" s="24"/>
      <c r="G635" s="24"/>
      <c r="H635" s="24"/>
      <c r="L635" s="21"/>
      <c r="N635" s="26"/>
      <c r="O635" s="24"/>
      <c r="P635" s="24"/>
      <c r="Q635" s="26"/>
      <c r="R635" s="24"/>
    </row>
    <row r="636" spans="5:18" x14ac:dyDescent="0.25">
      <c r="E636" s="24"/>
      <c r="F636" s="24"/>
      <c r="G636" s="24"/>
      <c r="H636" s="24"/>
      <c r="L636" s="21"/>
      <c r="N636" s="26"/>
      <c r="O636" s="24"/>
      <c r="P636" s="24"/>
      <c r="Q636" s="26"/>
      <c r="R636" s="24"/>
    </row>
    <row r="637" spans="5:18" x14ac:dyDescent="0.25">
      <c r="E637" s="24"/>
      <c r="F637" s="24"/>
      <c r="G637" s="24"/>
      <c r="H637" s="24"/>
      <c r="L637" s="21"/>
      <c r="N637" s="26"/>
      <c r="O637" s="24"/>
      <c r="P637" s="24"/>
      <c r="Q637" s="26"/>
      <c r="R637" s="24"/>
    </row>
    <row r="638" spans="5:18" x14ac:dyDescent="0.25">
      <c r="E638" s="24"/>
      <c r="F638" s="24"/>
      <c r="G638" s="24"/>
      <c r="H638" s="24"/>
      <c r="L638" s="21"/>
      <c r="N638" s="26"/>
      <c r="O638" s="24"/>
      <c r="P638" s="24"/>
      <c r="Q638" s="26"/>
      <c r="R638" s="24"/>
    </row>
    <row r="639" spans="5:18" x14ac:dyDescent="0.25">
      <c r="E639" s="24"/>
      <c r="F639" s="24"/>
      <c r="G639" s="24"/>
      <c r="H639" s="24"/>
      <c r="L639" s="21"/>
      <c r="N639" s="26"/>
      <c r="O639" s="24"/>
      <c r="P639" s="24"/>
      <c r="Q639" s="26"/>
      <c r="R639" s="24"/>
    </row>
    <row r="640" spans="5:18" x14ac:dyDescent="0.25">
      <c r="E640" s="24"/>
      <c r="F640" s="24"/>
      <c r="G640" s="24"/>
      <c r="H640" s="24"/>
      <c r="L640" s="21"/>
      <c r="N640" s="26"/>
      <c r="O640" s="24"/>
      <c r="P640" s="24"/>
      <c r="Q640" s="26"/>
      <c r="R640" s="24"/>
    </row>
    <row r="641" spans="5:18" x14ac:dyDescent="0.25">
      <c r="E641" s="24"/>
      <c r="F641" s="24"/>
      <c r="G641" s="24"/>
      <c r="H641" s="24"/>
      <c r="L641" s="21"/>
      <c r="N641" s="26"/>
      <c r="O641" s="24"/>
      <c r="P641" s="24"/>
      <c r="Q641" s="26"/>
      <c r="R641" s="24"/>
    </row>
    <row r="642" spans="5:18" x14ac:dyDescent="0.25">
      <c r="E642" s="24"/>
      <c r="F642" s="24"/>
      <c r="G642" s="24"/>
      <c r="H642" s="24"/>
      <c r="L642" s="21"/>
      <c r="N642" s="26"/>
      <c r="O642" s="24"/>
      <c r="P642" s="24"/>
      <c r="Q642" s="26"/>
      <c r="R642" s="24"/>
    </row>
    <row r="643" spans="5:18" x14ac:dyDescent="0.25">
      <c r="E643" s="24"/>
      <c r="F643" s="24"/>
      <c r="G643" s="24"/>
      <c r="H643" s="24"/>
      <c r="L643" s="21"/>
      <c r="N643" s="26"/>
      <c r="O643" s="24"/>
      <c r="P643" s="24"/>
      <c r="Q643" s="26"/>
      <c r="R643" s="24"/>
    </row>
    <row r="644" spans="5:18" x14ac:dyDescent="0.25">
      <c r="E644" s="24"/>
      <c r="F644" s="24"/>
      <c r="G644" s="24"/>
      <c r="H644" s="24"/>
      <c r="L644" s="21"/>
      <c r="N644" s="26"/>
      <c r="O644" s="24"/>
      <c r="P644" s="24"/>
      <c r="Q644" s="26"/>
      <c r="R644" s="24"/>
    </row>
    <row r="645" spans="5:18" x14ac:dyDescent="0.25">
      <c r="E645" s="24"/>
      <c r="F645" s="24"/>
      <c r="G645" s="24"/>
      <c r="H645" s="24"/>
      <c r="L645" s="21"/>
      <c r="N645" s="26"/>
      <c r="O645" s="24"/>
      <c r="P645" s="24"/>
      <c r="Q645" s="26"/>
      <c r="R645" s="24"/>
    </row>
    <row r="646" spans="5:18" x14ac:dyDescent="0.25">
      <c r="E646" s="24"/>
      <c r="F646" s="24"/>
      <c r="G646" s="24"/>
      <c r="H646" s="24"/>
      <c r="L646" s="21"/>
      <c r="N646" s="26"/>
      <c r="O646" s="24"/>
      <c r="P646" s="24"/>
      <c r="Q646" s="26"/>
      <c r="R646" s="24"/>
    </row>
    <row r="647" spans="5:18" x14ac:dyDescent="0.25">
      <c r="E647" s="24"/>
      <c r="F647" s="24"/>
      <c r="G647" s="24"/>
      <c r="H647" s="24"/>
      <c r="L647" s="21"/>
      <c r="N647" s="26"/>
      <c r="O647" s="24"/>
      <c r="P647" s="24"/>
      <c r="Q647" s="26"/>
      <c r="R647" s="24"/>
    </row>
    <row r="648" spans="5:18" x14ac:dyDescent="0.25">
      <c r="E648" s="24"/>
      <c r="F648" s="24"/>
      <c r="G648" s="24"/>
      <c r="H648" s="24"/>
      <c r="L648" s="21"/>
      <c r="N648" s="26"/>
      <c r="O648" s="24"/>
      <c r="P648" s="24"/>
      <c r="Q648" s="26"/>
      <c r="R648" s="24"/>
    </row>
    <row r="649" spans="5:18" x14ac:dyDescent="0.25">
      <c r="E649" s="24"/>
      <c r="F649" s="24"/>
      <c r="G649" s="24"/>
      <c r="H649" s="24"/>
      <c r="L649" s="21"/>
      <c r="N649" s="26"/>
      <c r="O649" s="24"/>
      <c r="P649" s="24"/>
      <c r="Q649" s="26"/>
      <c r="R649" s="24"/>
    </row>
    <row r="650" spans="5:18" x14ac:dyDescent="0.25">
      <c r="E650" s="24"/>
      <c r="F650" s="24"/>
      <c r="G650" s="24"/>
      <c r="H650" s="24"/>
      <c r="L650" s="21"/>
      <c r="N650" s="26"/>
      <c r="O650" s="24"/>
      <c r="P650" s="24"/>
      <c r="Q650" s="26"/>
      <c r="R650" s="24"/>
    </row>
    <row r="651" spans="5:18" x14ac:dyDescent="0.25">
      <c r="E651" s="24"/>
      <c r="F651" s="24"/>
      <c r="G651" s="24"/>
      <c r="H651" s="24"/>
      <c r="L651" s="21"/>
      <c r="N651" s="26"/>
      <c r="O651" s="24"/>
      <c r="P651" s="24"/>
      <c r="Q651" s="26"/>
      <c r="R651" s="24"/>
    </row>
    <row r="652" spans="5:18" x14ac:dyDescent="0.25">
      <c r="E652" s="24"/>
      <c r="F652" s="24"/>
      <c r="G652" s="24"/>
      <c r="H652" s="24"/>
      <c r="L652" s="21"/>
      <c r="N652" s="26"/>
      <c r="O652" s="24"/>
      <c r="P652" s="24"/>
      <c r="Q652" s="26"/>
      <c r="R652" s="24"/>
    </row>
    <row r="653" spans="5:18" x14ac:dyDescent="0.25">
      <c r="E653" s="24"/>
      <c r="F653" s="24"/>
      <c r="G653" s="24"/>
      <c r="H653" s="24"/>
      <c r="L653" s="21"/>
      <c r="N653" s="26"/>
      <c r="O653" s="24"/>
      <c r="P653" s="24"/>
      <c r="Q653" s="26"/>
      <c r="R653" s="24"/>
    </row>
    <row r="654" spans="5:18" x14ac:dyDescent="0.25">
      <c r="E654" s="24"/>
      <c r="F654" s="24"/>
      <c r="G654" s="24"/>
      <c r="H654" s="24"/>
      <c r="L654" s="21"/>
      <c r="N654" s="26"/>
      <c r="O654" s="24"/>
      <c r="P654" s="24"/>
      <c r="Q654" s="26"/>
      <c r="R654" s="24"/>
    </row>
    <row r="655" spans="5:18" x14ac:dyDescent="0.25">
      <c r="E655" s="24"/>
      <c r="F655" s="24"/>
      <c r="G655" s="24"/>
      <c r="H655" s="24"/>
      <c r="L655" s="21"/>
      <c r="N655" s="26"/>
      <c r="O655" s="24"/>
      <c r="P655" s="24"/>
      <c r="Q655" s="26"/>
      <c r="R655" s="24"/>
    </row>
    <row r="656" spans="5:18" x14ac:dyDescent="0.25">
      <c r="E656" s="24"/>
      <c r="F656" s="24"/>
      <c r="G656" s="24"/>
      <c r="H656" s="24"/>
      <c r="L656" s="21"/>
      <c r="N656" s="26"/>
      <c r="O656" s="24"/>
      <c r="P656" s="24"/>
      <c r="Q656" s="26"/>
      <c r="R656" s="24"/>
    </row>
    <row r="657" spans="5:18" x14ac:dyDescent="0.25">
      <c r="E657" s="24"/>
      <c r="F657" s="24"/>
      <c r="G657" s="24"/>
      <c r="H657" s="24"/>
      <c r="L657" s="21"/>
      <c r="N657" s="26"/>
      <c r="O657" s="24"/>
      <c r="P657" s="24"/>
      <c r="Q657" s="26"/>
      <c r="R657" s="24"/>
    </row>
    <row r="658" spans="5:18" x14ac:dyDescent="0.25">
      <c r="E658" s="24"/>
      <c r="F658" s="24"/>
      <c r="G658" s="24"/>
      <c r="H658" s="24"/>
      <c r="L658" s="21"/>
      <c r="N658" s="26"/>
      <c r="O658" s="24"/>
      <c r="P658" s="24"/>
      <c r="Q658" s="26"/>
      <c r="R658" s="24"/>
    </row>
    <row r="659" spans="5:18" x14ac:dyDescent="0.25">
      <c r="E659" s="24"/>
      <c r="F659" s="24"/>
      <c r="G659" s="24"/>
      <c r="H659" s="24"/>
      <c r="L659" s="21"/>
      <c r="N659" s="26"/>
      <c r="O659" s="24"/>
      <c r="P659" s="24"/>
      <c r="Q659" s="26"/>
      <c r="R659" s="24"/>
    </row>
    <row r="660" spans="5:18" x14ac:dyDescent="0.25">
      <c r="E660" s="24"/>
      <c r="F660" s="24"/>
      <c r="G660" s="24"/>
      <c r="H660" s="24"/>
      <c r="L660" s="21"/>
      <c r="N660" s="26"/>
      <c r="O660" s="24"/>
      <c r="P660" s="24"/>
      <c r="Q660" s="26"/>
      <c r="R660" s="24"/>
    </row>
    <row r="661" spans="5:18" x14ac:dyDescent="0.25">
      <c r="E661" s="24"/>
      <c r="F661" s="24"/>
      <c r="G661" s="24"/>
      <c r="H661" s="24"/>
      <c r="L661" s="21"/>
      <c r="N661" s="26"/>
      <c r="O661" s="24"/>
      <c r="P661" s="24"/>
      <c r="Q661" s="26"/>
      <c r="R661" s="24"/>
    </row>
    <row r="662" spans="5:18" x14ac:dyDescent="0.25">
      <c r="E662" s="24"/>
      <c r="F662" s="24"/>
      <c r="G662" s="24"/>
      <c r="H662" s="24"/>
      <c r="L662" s="21"/>
      <c r="N662" s="26"/>
      <c r="O662" s="24"/>
      <c r="P662" s="24"/>
      <c r="Q662" s="26"/>
      <c r="R662" s="24"/>
    </row>
    <row r="663" spans="5:18" x14ac:dyDescent="0.25">
      <c r="E663" s="24"/>
      <c r="F663" s="24"/>
      <c r="G663" s="24"/>
      <c r="H663" s="24"/>
      <c r="L663" s="21"/>
      <c r="N663" s="26"/>
      <c r="O663" s="24"/>
      <c r="P663" s="24"/>
      <c r="Q663" s="26"/>
      <c r="R663" s="24"/>
    </row>
    <row r="664" spans="5:18" x14ac:dyDescent="0.25">
      <c r="E664" s="24"/>
      <c r="F664" s="24"/>
      <c r="G664" s="24"/>
      <c r="H664" s="24"/>
      <c r="L664" s="21"/>
      <c r="N664" s="26"/>
      <c r="O664" s="24"/>
      <c r="P664" s="24"/>
      <c r="Q664" s="26"/>
      <c r="R664" s="24"/>
    </row>
    <row r="665" spans="5:18" x14ac:dyDescent="0.25">
      <c r="E665" s="24"/>
      <c r="F665" s="24"/>
      <c r="G665" s="24"/>
      <c r="H665" s="24"/>
      <c r="L665" s="21"/>
      <c r="N665" s="26"/>
      <c r="O665" s="24"/>
      <c r="P665" s="24"/>
      <c r="Q665" s="26"/>
      <c r="R665" s="24"/>
    </row>
    <row r="666" spans="5:18" x14ac:dyDescent="0.25">
      <c r="E666" s="24"/>
      <c r="F666" s="24"/>
      <c r="G666" s="24"/>
      <c r="H666" s="24"/>
      <c r="L666" s="21"/>
      <c r="N666" s="26"/>
      <c r="O666" s="24"/>
      <c r="P666" s="24"/>
      <c r="Q666" s="26"/>
      <c r="R666" s="24"/>
    </row>
    <row r="667" spans="5:18" x14ac:dyDescent="0.25">
      <c r="E667" s="24"/>
      <c r="F667" s="24"/>
      <c r="G667" s="24"/>
      <c r="H667" s="24"/>
      <c r="L667" s="21"/>
      <c r="N667" s="26"/>
      <c r="O667" s="24"/>
      <c r="P667" s="24"/>
      <c r="Q667" s="26"/>
      <c r="R667" s="24"/>
    </row>
    <row r="668" spans="5:18" x14ac:dyDescent="0.25">
      <c r="E668" s="24"/>
      <c r="F668" s="24"/>
      <c r="G668" s="24"/>
      <c r="H668" s="24"/>
      <c r="L668" s="21"/>
      <c r="N668" s="26"/>
      <c r="O668" s="24"/>
      <c r="P668" s="24"/>
      <c r="Q668" s="26"/>
      <c r="R668" s="24"/>
    </row>
    <row r="669" spans="5:18" x14ac:dyDescent="0.25">
      <c r="E669" s="24"/>
      <c r="F669" s="24"/>
      <c r="G669" s="24"/>
      <c r="H669" s="24"/>
      <c r="L669" s="21"/>
      <c r="N669" s="26"/>
      <c r="O669" s="24"/>
      <c r="P669" s="24"/>
      <c r="Q669" s="26"/>
      <c r="R669" s="24"/>
    </row>
    <row r="670" spans="5:18" x14ac:dyDescent="0.25">
      <c r="E670" s="24"/>
      <c r="F670" s="24"/>
      <c r="G670" s="24"/>
      <c r="H670" s="24"/>
      <c r="L670" s="21"/>
      <c r="N670" s="26"/>
      <c r="O670" s="24"/>
      <c r="P670" s="24"/>
      <c r="Q670" s="26"/>
      <c r="R670" s="24"/>
    </row>
    <row r="671" spans="5:18" x14ac:dyDescent="0.25">
      <c r="E671" s="24"/>
      <c r="F671" s="24"/>
      <c r="G671" s="24"/>
      <c r="H671" s="24"/>
      <c r="L671" s="21"/>
      <c r="N671" s="26"/>
      <c r="O671" s="24"/>
      <c r="P671" s="24"/>
      <c r="Q671" s="26"/>
      <c r="R671" s="24"/>
    </row>
    <row r="672" spans="5:18" x14ac:dyDescent="0.25">
      <c r="E672" s="24"/>
      <c r="F672" s="24"/>
      <c r="G672" s="24"/>
      <c r="H672" s="24"/>
      <c r="L672" s="21"/>
      <c r="N672" s="26"/>
      <c r="O672" s="24"/>
      <c r="P672" s="24"/>
      <c r="Q672" s="26"/>
      <c r="R672" s="24"/>
    </row>
    <row r="673" spans="5:18" x14ac:dyDescent="0.25">
      <c r="E673" s="24"/>
      <c r="F673" s="24"/>
      <c r="G673" s="24"/>
      <c r="H673" s="24"/>
      <c r="L673" s="21"/>
      <c r="N673" s="26"/>
      <c r="O673" s="24"/>
      <c r="P673" s="24"/>
      <c r="Q673" s="26"/>
      <c r="R673" s="24"/>
    </row>
    <row r="674" spans="5:18" x14ac:dyDescent="0.25">
      <c r="E674" s="24"/>
      <c r="F674" s="24"/>
      <c r="G674" s="24"/>
      <c r="H674" s="24"/>
      <c r="L674" s="21"/>
      <c r="N674" s="26"/>
      <c r="O674" s="24"/>
      <c r="P674" s="24"/>
      <c r="Q674" s="26"/>
      <c r="R674" s="24"/>
    </row>
    <row r="675" spans="5:18" x14ac:dyDescent="0.25">
      <c r="E675" s="24"/>
      <c r="F675" s="24"/>
      <c r="G675" s="24"/>
      <c r="H675" s="24"/>
      <c r="L675" s="21"/>
      <c r="N675" s="26"/>
      <c r="O675" s="24"/>
      <c r="P675" s="24"/>
      <c r="Q675" s="26"/>
      <c r="R675" s="24"/>
    </row>
    <row r="676" spans="5:18" x14ac:dyDescent="0.25">
      <c r="E676" s="24"/>
      <c r="F676" s="24"/>
      <c r="G676" s="24"/>
      <c r="H676" s="24"/>
      <c r="L676" s="21"/>
      <c r="N676" s="26"/>
      <c r="O676" s="24"/>
      <c r="P676" s="24"/>
      <c r="Q676" s="26"/>
      <c r="R676" s="24"/>
    </row>
    <row r="677" spans="5:18" x14ac:dyDescent="0.25">
      <c r="E677" s="24"/>
      <c r="F677" s="24"/>
      <c r="G677" s="24"/>
      <c r="H677" s="24"/>
      <c r="L677" s="21"/>
      <c r="N677" s="26"/>
      <c r="O677" s="24"/>
      <c r="P677" s="24"/>
      <c r="Q677" s="26"/>
      <c r="R677" s="24"/>
    </row>
    <row r="678" spans="5:18" x14ac:dyDescent="0.25">
      <c r="E678" s="24"/>
      <c r="F678" s="24"/>
      <c r="G678" s="24"/>
      <c r="H678" s="24"/>
      <c r="L678" s="21"/>
      <c r="N678" s="26"/>
      <c r="O678" s="24"/>
      <c r="P678" s="24"/>
      <c r="Q678" s="26"/>
      <c r="R678" s="24"/>
    </row>
    <row r="679" spans="5:18" x14ac:dyDescent="0.25">
      <c r="E679" s="24"/>
      <c r="F679" s="24"/>
      <c r="G679" s="24"/>
      <c r="H679" s="24"/>
      <c r="L679" s="21"/>
      <c r="N679" s="26"/>
      <c r="O679" s="24"/>
      <c r="P679" s="24"/>
      <c r="Q679" s="26"/>
      <c r="R679" s="24"/>
    </row>
    <row r="680" spans="5:18" x14ac:dyDescent="0.25">
      <c r="E680" s="24"/>
      <c r="F680" s="24"/>
      <c r="G680" s="24"/>
      <c r="H680" s="24"/>
      <c r="L680" s="21"/>
      <c r="N680" s="26"/>
      <c r="O680" s="24"/>
      <c r="P680" s="24"/>
      <c r="Q680" s="26"/>
      <c r="R680" s="24"/>
    </row>
    <row r="681" spans="5:18" x14ac:dyDescent="0.25">
      <c r="E681" s="24"/>
      <c r="F681" s="24"/>
      <c r="G681" s="24"/>
      <c r="H681" s="24"/>
      <c r="L681" s="21"/>
      <c r="N681" s="26"/>
      <c r="O681" s="24"/>
      <c r="P681" s="24"/>
      <c r="Q681" s="26"/>
      <c r="R681" s="24"/>
    </row>
    <row r="682" spans="5:18" x14ac:dyDescent="0.25">
      <c r="E682" s="24"/>
      <c r="F682" s="24"/>
      <c r="G682" s="24"/>
      <c r="H682" s="24"/>
      <c r="L682" s="21"/>
      <c r="N682" s="26"/>
      <c r="O682" s="24"/>
      <c r="P682" s="24"/>
      <c r="Q682" s="26"/>
      <c r="R682" s="24"/>
    </row>
    <row r="683" spans="5:18" x14ac:dyDescent="0.25">
      <c r="E683" s="24"/>
      <c r="F683" s="24"/>
      <c r="G683" s="24"/>
      <c r="H683" s="24"/>
      <c r="L683" s="21"/>
      <c r="N683" s="26"/>
      <c r="O683" s="24"/>
      <c r="P683" s="24"/>
      <c r="Q683" s="26"/>
      <c r="R683" s="24"/>
    </row>
    <row r="684" spans="5:18" x14ac:dyDescent="0.25">
      <c r="E684" s="24"/>
      <c r="F684" s="24"/>
      <c r="G684" s="24"/>
      <c r="H684" s="24"/>
      <c r="L684" s="21"/>
      <c r="N684" s="26"/>
      <c r="O684" s="24"/>
      <c r="P684" s="24"/>
      <c r="Q684" s="26"/>
      <c r="R684" s="24"/>
    </row>
    <row r="685" spans="5:18" x14ac:dyDescent="0.25">
      <c r="E685" s="24"/>
      <c r="F685" s="24"/>
      <c r="G685" s="24"/>
      <c r="H685" s="24"/>
      <c r="L685" s="21"/>
      <c r="N685" s="26"/>
      <c r="O685" s="24"/>
      <c r="P685" s="24"/>
      <c r="Q685" s="26"/>
      <c r="R685" s="24"/>
    </row>
    <row r="686" spans="5:18" x14ac:dyDescent="0.25">
      <c r="E686" s="24"/>
      <c r="F686" s="24"/>
      <c r="G686" s="24"/>
      <c r="H686" s="24"/>
      <c r="L686" s="21"/>
      <c r="N686" s="26"/>
      <c r="O686" s="24"/>
      <c r="P686" s="24"/>
      <c r="Q686" s="26"/>
      <c r="R686" s="24"/>
    </row>
    <row r="687" spans="5:18" x14ac:dyDescent="0.25">
      <c r="E687" s="24"/>
      <c r="F687" s="24"/>
      <c r="G687" s="24"/>
      <c r="H687" s="24"/>
      <c r="L687" s="21"/>
      <c r="N687" s="26"/>
      <c r="O687" s="24"/>
      <c r="P687" s="24"/>
      <c r="Q687" s="26"/>
      <c r="R687" s="24"/>
    </row>
    <row r="688" spans="5:18" x14ac:dyDescent="0.25">
      <c r="E688" s="24"/>
      <c r="F688" s="24"/>
      <c r="G688" s="24"/>
      <c r="H688" s="24"/>
      <c r="L688" s="21"/>
      <c r="N688" s="26"/>
      <c r="O688" s="24"/>
      <c r="P688" s="24"/>
      <c r="Q688" s="26"/>
      <c r="R688" s="24"/>
    </row>
    <row r="689" spans="5:18" x14ac:dyDescent="0.25">
      <c r="E689" s="24"/>
      <c r="F689" s="24"/>
      <c r="G689" s="24"/>
      <c r="H689" s="24"/>
      <c r="L689" s="21"/>
      <c r="N689" s="26"/>
      <c r="O689" s="24"/>
      <c r="P689" s="24"/>
      <c r="Q689" s="26"/>
      <c r="R689" s="24"/>
    </row>
    <row r="690" spans="5:18" x14ac:dyDescent="0.25">
      <c r="E690" s="24"/>
      <c r="F690" s="24"/>
      <c r="G690" s="24"/>
      <c r="H690" s="24"/>
      <c r="L690" s="21"/>
      <c r="N690" s="26"/>
      <c r="O690" s="24"/>
      <c r="P690" s="24"/>
      <c r="Q690" s="26"/>
      <c r="R690" s="24"/>
    </row>
    <row r="691" spans="5:18" x14ac:dyDescent="0.25">
      <c r="E691" s="24"/>
      <c r="F691" s="24"/>
      <c r="G691" s="24"/>
      <c r="H691" s="24"/>
      <c r="L691" s="21"/>
      <c r="N691" s="26"/>
      <c r="O691" s="24"/>
      <c r="P691" s="24"/>
      <c r="Q691" s="26"/>
      <c r="R691" s="24"/>
    </row>
    <row r="692" spans="5:18" x14ac:dyDescent="0.25">
      <c r="E692" s="24"/>
      <c r="F692" s="24"/>
      <c r="G692" s="24"/>
      <c r="H692" s="24"/>
      <c r="L692" s="21"/>
      <c r="N692" s="26"/>
      <c r="O692" s="24"/>
      <c r="P692" s="24"/>
      <c r="Q692" s="26"/>
      <c r="R692" s="24"/>
    </row>
    <row r="693" spans="5:18" x14ac:dyDescent="0.25">
      <c r="E693" s="24"/>
      <c r="F693" s="24"/>
      <c r="G693" s="24"/>
      <c r="H693" s="24"/>
      <c r="L693" s="21"/>
      <c r="N693" s="26"/>
      <c r="O693" s="24"/>
      <c r="P693" s="24"/>
      <c r="Q693" s="26"/>
      <c r="R693" s="24"/>
    </row>
    <row r="694" spans="5:18" x14ac:dyDescent="0.25">
      <c r="E694" s="24"/>
      <c r="F694" s="24"/>
      <c r="G694" s="24"/>
      <c r="H694" s="24"/>
      <c r="L694" s="21"/>
      <c r="N694" s="26"/>
      <c r="O694" s="24"/>
      <c r="P694" s="24"/>
      <c r="Q694" s="26"/>
      <c r="R694" s="24"/>
    </row>
    <row r="695" spans="5:18" x14ac:dyDescent="0.25">
      <c r="E695" s="24"/>
      <c r="F695" s="24"/>
      <c r="G695" s="24"/>
      <c r="H695" s="24"/>
      <c r="L695" s="21"/>
      <c r="N695" s="26"/>
      <c r="O695" s="24"/>
      <c r="P695" s="24"/>
      <c r="Q695" s="26"/>
      <c r="R695" s="24"/>
    </row>
    <row r="696" spans="5:18" x14ac:dyDescent="0.25">
      <c r="E696" s="24"/>
      <c r="F696" s="24"/>
      <c r="G696" s="24"/>
      <c r="H696" s="24"/>
      <c r="L696" s="21"/>
      <c r="N696" s="26"/>
      <c r="O696" s="24"/>
      <c r="P696" s="24"/>
      <c r="Q696" s="26"/>
      <c r="R696" s="24"/>
    </row>
    <row r="697" spans="5:18" x14ac:dyDescent="0.25">
      <c r="E697" s="24"/>
      <c r="F697" s="24"/>
      <c r="G697" s="24"/>
      <c r="H697" s="24"/>
      <c r="L697" s="21"/>
      <c r="N697" s="26"/>
      <c r="O697" s="24"/>
      <c r="P697" s="24"/>
      <c r="Q697" s="26"/>
      <c r="R697" s="24"/>
    </row>
    <row r="698" spans="5:18" x14ac:dyDescent="0.25">
      <c r="E698" s="24"/>
      <c r="F698" s="24"/>
      <c r="G698" s="24"/>
      <c r="H698" s="24"/>
      <c r="L698" s="21"/>
      <c r="N698" s="26"/>
      <c r="O698" s="24"/>
      <c r="P698" s="24"/>
      <c r="Q698" s="26"/>
      <c r="R698" s="24"/>
    </row>
    <row r="699" spans="5:18" x14ac:dyDescent="0.25">
      <c r="E699" s="24"/>
      <c r="F699" s="24"/>
      <c r="G699" s="24"/>
      <c r="H699" s="24"/>
      <c r="L699" s="21"/>
      <c r="N699" s="26"/>
      <c r="O699" s="24"/>
      <c r="P699" s="24"/>
      <c r="Q699" s="26"/>
      <c r="R699" s="24"/>
    </row>
    <row r="700" spans="5:18" x14ac:dyDescent="0.25">
      <c r="E700" s="24"/>
      <c r="F700" s="24"/>
      <c r="G700" s="24"/>
      <c r="H700" s="24"/>
      <c r="L700" s="21"/>
      <c r="N700" s="26"/>
      <c r="O700" s="24"/>
      <c r="P700" s="24"/>
      <c r="Q700" s="26"/>
      <c r="R700" s="24"/>
    </row>
    <row r="701" spans="5:18" x14ac:dyDescent="0.25">
      <c r="E701" s="24"/>
      <c r="F701" s="24"/>
      <c r="G701" s="24"/>
      <c r="H701" s="24"/>
      <c r="L701" s="21"/>
      <c r="N701" s="26"/>
      <c r="O701" s="24"/>
      <c r="P701" s="24"/>
      <c r="Q701" s="26"/>
      <c r="R701" s="24"/>
    </row>
    <row r="702" spans="5:18" x14ac:dyDescent="0.25">
      <c r="E702" s="24"/>
      <c r="F702" s="24"/>
      <c r="G702" s="24"/>
      <c r="H702" s="24"/>
      <c r="L702" s="21"/>
      <c r="N702" s="26"/>
      <c r="O702" s="24"/>
      <c r="P702" s="24"/>
      <c r="Q702" s="26"/>
      <c r="R702" s="24"/>
    </row>
    <row r="703" spans="5:18" x14ac:dyDescent="0.25">
      <c r="E703" s="24"/>
      <c r="F703" s="24"/>
      <c r="G703" s="24"/>
      <c r="H703" s="24"/>
      <c r="L703" s="21"/>
      <c r="N703" s="26"/>
      <c r="O703" s="24"/>
      <c r="P703" s="24"/>
      <c r="Q703" s="26"/>
      <c r="R703" s="24"/>
    </row>
    <row r="704" spans="5:18" x14ac:dyDescent="0.25">
      <c r="E704" s="24"/>
      <c r="F704" s="24"/>
      <c r="G704" s="24"/>
      <c r="H704" s="24"/>
      <c r="L704" s="21"/>
      <c r="N704" s="26"/>
      <c r="O704" s="24"/>
      <c r="P704" s="24"/>
      <c r="Q704" s="26"/>
      <c r="R704" s="24"/>
    </row>
    <row r="705" spans="5:18" x14ac:dyDescent="0.25">
      <c r="E705" s="24"/>
      <c r="F705" s="24"/>
      <c r="G705" s="24"/>
      <c r="H705" s="24"/>
      <c r="L705" s="21"/>
      <c r="N705" s="26"/>
      <c r="O705" s="24"/>
      <c r="P705" s="24"/>
      <c r="Q705" s="26"/>
      <c r="R705" s="24"/>
    </row>
    <row r="706" spans="5:18" x14ac:dyDescent="0.25">
      <c r="E706" s="24"/>
      <c r="F706" s="24"/>
      <c r="G706" s="24"/>
      <c r="H706" s="24"/>
      <c r="L706" s="21"/>
      <c r="N706" s="26"/>
      <c r="O706" s="24"/>
      <c r="P706" s="24"/>
      <c r="Q706" s="26"/>
      <c r="R706" s="24"/>
    </row>
    <row r="707" spans="5:18" x14ac:dyDescent="0.25">
      <c r="E707" s="24"/>
      <c r="F707" s="24"/>
      <c r="G707" s="24"/>
      <c r="H707" s="24"/>
      <c r="L707" s="21"/>
      <c r="N707" s="26"/>
      <c r="O707" s="24"/>
      <c r="P707" s="24"/>
      <c r="Q707" s="26"/>
      <c r="R707" s="24"/>
    </row>
    <row r="708" spans="5:18" x14ac:dyDescent="0.25">
      <c r="E708" s="24"/>
      <c r="F708" s="24"/>
      <c r="G708" s="24"/>
      <c r="H708" s="24"/>
      <c r="L708" s="21"/>
      <c r="N708" s="26"/>
      <c r="O708" s="24"/>
      <c r="P708" s="24"/>
      <c r="Q708" s="26"/>
      <c r="R708" s="24"/>
    </row>
    <row r="709" spans="5:18" x14ac:dyDescent="0.25">
      <c r="E709" s="24"/>
      <c r="F709" s="24"/>
      <c r="G709" s="24"/>
      <c r="H709" s="24"/>
      <c r="L709" s="21"/>
      <c r="N709" s="26"/>
      <c r="O709" s="24"/>
      <c r="P709" s="24"/>
      <c r="Q709" s="26"/>
      <c r="R709" s="24"/>
    </row>
    <row r="710" spans="5:18" x14ac:dyDescent="0.25">
      <c r="E710" s="24"/>
      <c r="F710" s="24"/>
      <c r="G710" s="24"/>
      <c r="H710" s="24"/>
      <c r="L710" s="21"/>
      <c r="N710" s="26"/>
      <c r="O710" s="24"/>
      <c r="P710" s="24"/>
      <c r="Q710" s="26"/>
      <c r="R710" s="24"/>
    </row>
    <row r="711" spans="5:18" x14ac:dyDescent="0.25">
      <c r="E711" s="24"/>
      <c r="F711" s="24"/>
      <c r="G711" s="24"/>
      <c r="H711" s="24"/>
      <c r="L711" s="21"/>
      <c r="N711" s="26"/>
      <c r="O711" s="24"/>
      <c r="P711" s="24"/>
      <c r="Q711" s="26"/>
      <c r="R711" s="24"/>
    </row>
    <row r="712" spans="5:18" x14ac:dyDescent="0.25">
      <c r="E712" s="24"/>
      <c r="F712" s="24"/>
      <c r="G712" s="24"/>
      <c r="H712" s="24"/>
      <c r="L712" s="21"/>
      <c r="N712" s="26"/>
      <c r="O712" s="24"/>
      <c r="P712" s="24"/>
      <c r="Q712" s="26"/>
      <c r="R712" s="24"/>
    </row>
    <row r="713" spans="5:18" x14ac:dyDescent="0.25">
      <c r="E713" s="24"/>
      <c r="F713" s="24"/>
      <c r="G713" s="24"/>
      <c r="H713" s="24"/>
      <c r="L713" s="21"/>
      <c r="N713" s="26"/>
      <c r="O713" s="24"/>
      <c r="P713" s="24"/>
      <c r="Q713" s="26"/>
      <c r="R713" s="24"/>
    </row>
    <row r="714" spans="5:18" x14ac:dyDescent="0.25">
      <c r="E714" s="24"/>
      <c r="F714" s="24"/>
      <c r="G714" s="24"/>
      <c r="H714" s="24"/>
      <c r="L714" s="21"/>
      <c r="N714" s="26"/>
      <c r="O714" s="24"/>
      <c r="P714" s="24"/>
      <c r="Q714" s="26"/>
      <c r="R714" s="24"/>
    </row>
    <row r="715" spans="5:18" x14ac:dyDescent="0.25">
      <c r="E715" s="24"/>
      <c r="F715" s="24"/>
      <c r="G715" s="24"/>
      <c r="H715" s="24"/>
      <c r="L715" s="21"/>
      <c r="N715" s="26"/>
      <c r="O715" s="24"/>
      <c r="P715" s="24"/>
      <c r="Q715" s="26"/>
      <c r="R715" s="24"/>
    </row>
    <row r="716" spans="5:18" x14ac:dyDescent="0.25">
      <c r="E716" s="24"/>
      <c r="F716" s="24"/>
      <c r="G716" s="24"/>
      <c r="H716" s="24"/>
      <c r="L716" s="21"/>
      <c r="N716" s="26"/>
      <c r="O716" s="24"/>
      <c r="P716" s="24"/>
      <c r="Q716" s="26"/>
      <c r="R716" s="24"/>
    </row>
    <row r="717" spans="5:18" x14ac:dyDescent="0.25">
      <c r="E717" s="24"/>
      <c r="F717" s="24"/>
      <c r="G717" s="24"/>
      <c r="H717" s="24"/>
      <c r="L717" s="21"/>
      <c r="N717" s="26"/>
      <c r="O717" s="24"/>
      <c r="P717" s="24"/>
      <c r="Q717" s="26"/>
      <c r="R717" s="24"/>
    </row>
    <row r="718" spans="5:18" x14ac:dyDescent="0.25">
      <c r="E718" s="24"/>
      <c r="F718" s="24"/>
      <c r="G718" s="24"/>
      <c r="H718" s="24"/>
      <c r="L718" s="21"/>
      <c r="N718" s="26"/>
      <c r="O718" s="24"/>
      <c r="P718" s="24"/>
      <c r="Q718" s="26"/>
      <c r="R718" s="24"/>
    </row>
    <row r="719" spans="5:18" x14ac:dyDescent="0.25">
      <c r="E719" s="24"/>
      <c r="F719" s="24"/>
      <c r="G719" s="24"/>
      <c r="H719" s="24"/>
      <c r="L719" s="21"/>
      <c r="N719" s="26"/>
      <c r="O719" s="24"/>
      <c r="P719" s="24"/>
      <c r="Q719" s="26"/>
      <c r="R719" s="24"/>
    </row>
    <row r="720" spans="5:18" x14ac:dyDescent="0.25">
      <c r="E720" s="24"/>
      <c r="F720" s="24"/>
      <c r="G720" s="24"/>
      <c r="H720" s="24"/>
      <c r="L720" s="21"/>
      <c r="N720" s="26"/>
      <c r="O720" s="24"/>
      <c r="P720" s="24"/>
      <c r="Q720" s="26"/>
      <c r="R720" s="24"/>
    </row>
    <row r="721" spans="5:18" x14ac:dyDescent="0.25">
      <c r="E721" s="24"/>
      <c r="F721" s="24"/>
      <c r="G721" s="24"/>
      <c r="H721" s="24"/>
      <c r="L721" s="21"/>
      <c r="N721" s="26"/>
      <c r="O721" s="24"/>
      <c r="P721" s="24"/>
      <c r="Q721" s="26"/>
      <c r="R721" s="24"/>
    </row>
    <row r="722" spans="5:18" x14ac:dyDescent="0.25">
      <c r="E722" s="24"/>
      <c r="F722" s="24"/>
      <c r="G722" s="24"/>
      <c r="H722" s="24"/>
      <c r="L722" s="21"/>
      <c r="N722" s="26"/>
      <c r="O722" s="24"/>
      <c r="P722" s="24"/>
      <c r="Q722" s="26"/>
      <c r="R722" s="24"/>
    </row>
    <row r="723" spans="5:18" x14ac:dyDescent="0.25">
      <c r="E723" s="24"/>
      <c r="F723" s="24"/>
      <c r="G723" s="24"/>
      <c r="H723" s="24"/>
      <c r="L723" s="21"/>
      <c r="N723" s="26"/>
      <c r="O723" s="24"/>
      <c r="P723" s="24"/>
      <c r="Q723" s="26"/>
      <c r="R723" s="24"/>
    </row>
    <row r="724" spans="5:18" x14ac:dyDescent="0.25">
      <c r="E724" s="24"/>
      <c r="F724" s="24"/>
      <c r="G724" s="24"/>
      <c r="H724" s="24"/>
      <c r="L724" s="21"/>
      <c r="N724" s="26"/>
      <c r="O724" s="24"/>
      <c r="P724" s="24"/>
      <c r="Q724" s="26"/>
      <c r="R724" s="24"/>
    </row>
    <row r="725" spans="5:18" x14ac:dyDescent="0.25">
      <c r="E725" s="24"/>
      <c r="F725" s="24"/>
      <c r="G725" s="24"/>
      <c r="H725" s="24"/>
      <c r="L725" s="21"/>
      <c r="N725" s="26"/>
      <c r="O725" s="24"/>
      <c r="P725" s="24"/>
      <c r="Q725" s="26"/>
      <c r="R725" s="24"/>
    </row>
    <row r="726" spans="5:18" x14ac:dyDescent="0.25">
      <c r="E726" s="24"/>
      <c r="F726" s="24"/>
      <c r="G726" s="24"/>
      <c r="H726" s="24"/>
      <c r="L726" s="21"/>
      <c r="N726" s="26"/>
      <c r="O726" s="24"/>
      <c r="P726" s="24"/>
      <c r="Q726" s="26"/>
      <c r="R726" s="24"/>
    </row>
    <row r="727" spans="5:18" x14ac:dyDescent="0.25">
      <c r="E727" s="24"/>
      <c r="F727" s="24"/>
      <c r="G727" s="24"/>
      <c r="H727" s="24"/>
      <c r="L727" s="21"/>
      <c r="N727" s="26"/>
      <c r="O727" s="24"/>
      <c r="P727" s="24"/>
      <c r="Q727" s="26"/>
      <c r="R727" s="24"/>
    </row>
    <row r="728" spans="5:18" x14ac:dyDescent="0.25">
      <c r="E728" s="24"/>
      <c r="F728" s="24"/>
      <c r="G728" s="24"/>
      <c r="H728" s="24"/>
      <c r="L728" s="21"/>
      <c r="N728" s="26"/>
      <c r="O728" s="24"/>
      <c r="P728" s="24"/>
      <c r="Q728" s="26"/>
      <c r="R728" s="24"/>
    </row>
    <row r="729" spans="5:18" x14ac:dyDescent="0.25">
      <c r="E729" s="24"/>
      <c r="F729" s="24"/>
      <c r="G729" s="24"/>
      <c r="H729" s="24"/>
      <c r="L729" s="21"/>
      <c r="N729" s="26"/>
      <c r="O729" s="24"/>
      <c r="P729" s="24"/>
      <c r="Q729" s="26"/>
      <c r="R729" s="24"/>
    </row>
    <row r="730" spans="5:18" x14ac:dyDescent="0.25">
      <c r="E730" s="24"/>
      <c r="F730" s="24"/>
      <c r="G730" s="24"/>
      <c r="H730" s="24"/>
      <c r="L730" s="21"/>
      <c r="N730" s="26"/>
      <c r="O730" s="24"/>
      <c r="P730" s="24"/>
      <c r="Q730" s="26"/>
      <c r="R730" s="24"/>
    </row>
    <row r="731" spans="5:18" x14ac:dyDescent="0.25">
      <c r="E731" s="24"/>
      <c r="F731" s="24"/>
      <c r="G731" s="24"/>
      <c r="H731" s="24"/>
      <c r="L731" s="21"/>
      <c r="N731" s="26"/>
      <c r="O731" s="24"/>
      <c r="P731" s="24"/>
      <c r="Q731" s="26"/>
      <c r="R731" s="24"/>
    </row>
    <row r="732" spans="5:18" x14ac:dyDescent="0.25">
      <c r="E732" s="24"/>
      <c r="F732" s="24"/>
      <c r="G732" s="24"/>
      <c r="H732" s="24"/>
      <c r="L732" s="21"/>
      <c r="N732" s="26"/>
      <c r="O732" s="24"/>
      <c r="P732" s="24"/>
      <c r="Q732" s="26"/>
      <c r="R732" s="24"/>
    </row>
    <row r="733" spans="5:18" x14ac:dyDescent="0.25">
      <c r="E733" s="24"/>
      <c r="F733" s="24"/>
      <c r="G733" s="24"/>
      <c r="H733" s="24"/>
      <c r="L733" s="21"/>
      <c r="N733" s="26"/>
      <c r="O733" s="24"/>
      <c r="P733" s="24"/>
      <c r="Q733" s="26"/>
      <c r="R733" s="24"/>
    </row>
    <row r="734" spans="5:18" x14ac:dyDescent="0.25">
      <c r="E734" s="24"/>
      <c r="F734" s="24"/>
      <c r="G734" s="24"/>
      <c r="H734" s="24"/>
      <c r="L734" s="21"/>
      <c r="N734" s="26"/>
      <c r="O734" s="24"/>
      <c r="P734" s="24"/>
      <c r="Q734" s="26"/>
      <c r="R734" s="24"/>
    </row>
    <row r="735" spans="5:18" x14ac:dyDescent="0.25">
      <c r="E735" s="24"/>
      <c r="F735" s="24"/>
      <c r="G735" s="24"/>
      <c r="H735" s="24"/>
      <c r="L735" s="21"/>
      <c r="N735" s="26"/>
      <c r="O735" s="24"/>
      <c r="P735" s="24"/>
      <c r="Q735" s="26"/>
      <c r="R735" s="24"/>
    </row>
    <row r="736" spans="5:18" x14ac:dyDescent="0.25">
      <c r="E736" s="24"/>
      <c r="F736" s="24"/>
      <c r="G736" s="24"/>
      <c r="H736" s="24"/>
      <c r="L736" s="21"/>
      <c r="N736" s="26"/>
      <c r="O736" s="24"/>
      <c r="P736" s="24"/>
      <c r="Q736" s="26"/>
      <c r="R736" s="24"/>
    </row>
    <row r="737" spans="5:18" x14ac:dyDescent="0.25">
      <c r="E737" s="24"/>
      <c r="F737" s="24"/>
      <c r="G737" s="24"/>
      <c r="H737" s="24"/>
      <c r="L737" s="21"/>
      <c r="N737" s="26"/>
      <c r="O737" s="24"/>
      <c r="P737" s="24"/>
      <c r="Q737" s="26"/>
      <c r="R737" s="24"/>
    </row>
    <row r="738" spans="5:18" x14ac:dyDescent="0.25">
      <c r="E738" s="24"/>
      <c r="F738" s="24"/>
      <c r="G738" s="24"/>
      <c r="H738" s="24"/>
      <c r="L738" s="21"/>
      <c r="N738" s="26"/>
      <c r="O738" s="24"/>
      <c r="P738" s="24"/>
      <c r="Q738" s="26"/>
      <c r="R738" s="24"/>
    </row>
    <row r="739" spans="5:18" x14ac:dyDescent="0.25">
      <c r="E739" s="24"/>
      <c r="F739" s="24"/>
      <c r="G739" s="24"/>
      <c r="H739" s="24"/>
      <c r="L739" s="21"/>
      <c r="N739" s="26"/>
      <c r="O739" s="24"/>
      <c r="P739" s="24"/>
      <c r="Q739" s="26"/>
      <c r="R739" s="24"/>
    </row>
    <row r="740" spans="5:18" x14ac:dyDescent="0.25">
      <c r="E740" s="24"/>
      <c r="F740" s="24"/>
      <c r="G740" s="24"/>
      <c r="H740" s="24"/>
      <c r="L740" s="21"/>
      <c r="N740" s="26"/>
      <c r="O740" s="24"/>
      <c r="P740" s="24"/>
      <c r="Q740" s="26"/>
      <c r="R740" s="24"/>
    </row>
    <row r="741" spans="5:18" x14ac:dyDescent="0.25">
      <c r="E741" s="24"/>
      <c r="F741" s="24"/>
      <c r="G741" s="24"/>
      <c r="H741" s="24"/>
      <c r="L741" s="21"/>
      <c r="N741" s="26"/>
      <c r="O741" s="24"/>
      <c r="P741" s="24"/>
      <c r="Q741" s="26"/>
      <c r="R741" s="24"/>
    </row>
    <row r="742" spans="5:18" x14ac:dyDescent="0.25">
      <c r="E742" s="24"/>
      <c r="F742" s="24"/>
      <c r="G742" s="24"/>
      <c r="H742" s="24"/>
      <c r="L742" s="21"/>
      <c r="N742" s="26"/>
      <c r="O742" s="24"/>
      <c r="P742" s="24"/>
      <c r="Q742" s="26"/>
      <c r="R742" s="24"/>
    </row>
    <row r="743" spans="5:18" x14ac:dyDescent="0.25">
      <c r="E743" s="24"/>
      <c r="F743" s="24"/>
      <c r="G743" s="24"/>
      <c r="H743" s="24"/>
      <c r="L743" s="21"/>
      <c r="N743" s="26"/>
      <c r="O743" s="24"/>
      <c r="P743" s="24"/>
      <c r="Q743" s="26"/>
      <c r="R743" s="24"/>
    </row>
    <row r="744" spans="5:18" x14ac:dyDescent="0.25">
      <c r="E744" s="24"/>
      <c r="F744" s="24"/>
      <c r="G744" s="24"/>
      <c r="H744" s="24"/>
      <c r="L744" s="21"/>
      <c r="N744" s="26"/>
      <c r="O744" s="24"/>
      <c r="P744" s="24"/>
      <c r="Q744" s="26"/>
      <c r="R744" s="24"/>
    </row>
    <row r="745" spans="5:18" x14ac:dyDescent="0.25">
      <c r="E745" s="24"/>
      <c r="F745" s="24"/>
      <c r="G745" s="24"/>
      <c r="H745" s="24"/>
      <c r="L745" s="21"/>
      <c r="N745" s="26"/>
      <c r="O745" s="24"/>
      <c r="P745" s="24"/>
      <c r="Q745" s="26"/>
      <c r="R745" s="24"/>
    </row>
    <row r="746" spans="5:18" x14ac:dyDescent="0.25">
      <c r="E746" s="24"/>
      <c r="F746" s="24"/>
      <c r="G746" s="24"/>
      <c r="H746" s="24"/>
      <c r="L746" s="21"/>
      <c r="N746" s="26"/>
      <c r="O746" s="24"/>
      <c r="P746" s="24"/>
      <c r="Q746" s="26"/>
      <c r="R746" s="24"/>
    </row>
    <row r="747" spans="5:18" x14ac:dyDescent="0.25">
      <c r="E747" s="24"/>
      <c r="F747" s="24"/>
      <c r="G747" s="24"/>
      <c r="H747" s="24"/>
      <c r="L747" s="21"/>
      <c r="N747" s="26"/>
      <c r="O747" s="24"/>
      <c r="P747" s="24"/>
      <c r="Q747" s="26"/>
      <c r="R747" s="24"/>
    </row>
    <row r="748" spans="5:18" x14ac:dyDescent="0.25">
      <c r="E748" s="24"/>
      <c r="F748" s="24"/>
      <c r="G748" s="24"/>
      <c r="H748" s="24"/>
      <c r="L748" s="21"/>
      <c r="N748" s="26"/>
      <c r="O748" s="24"/>
      <c r="P748" s="24"/>
      <c r="Q748" s="26"/>
      <c r="R748" s="24"/>
    </row>
    <row r="749" spans="5:18" x14ac:dyDescent="0.25">
      <c r="E749" s="24"/>
      <c r="F749" s="24"/>
      <c r="G749" s="24"/>
      <c r="H749" s="24"/>
      <c r="L749" s="21"/>
      <c r="N749" s="26"/>
      <c r="O749" s="24"/>
      <c r="P749" s="24"/>
      <c r="Q749" s="26"/>
      <c r="R749" s="24"/>
    </row>
    <row r="750" spans="5:18" x14ac:dyDescent="0.25">
      <c r="E750" s="24"/>
      <c r="F750" s="24"/>
      <c r="G750" s="24"/>
      <c r="H750" s="24"/>
      <c r="L750" s="21"/>
      <c r="N750" s="26"/>
      <c r="O750" s="24"/>
      <c r="P750" s="24"/>
      <c r="Q750" s="26"/>
      <c r="R750" s="24"/>
    </row>
    <row r="751" spans="5:18" x14ac:dyDescent="0.25">
      <c r="E751" s="24"/>
      <c r="F751" s="24"/>
      <c r="G751" s="24"/>
      <c r="H751" s="24"/>
      <c r="L751" s="21"/>
      <c r="N751" s="26"/>
      <c r="O751" s="24"/>
      <c r="P751" s="24"/>
      <c r="Q751" s="26"/>
      <c r="R751" s="24"/>
    </row>
    <row r="752" spans="5:18" x14ac:dyDescent="0.25">
      <c r="E752" s="24"/>
      <c r="F752" s="24"/>
      <c r="G752" s="24"/>
      <c r="H752" s="24"/>
      <c r="L752" s="21"/>
      <c r="N752" s="26"/>
      <c r="O752" s="24"/>
      <c r="P752" s="24"/>
      <c r="Q752" s="26"/>
      <c r="R752" s="24"/>
    </row>
    <row r="753" spans="5:18" x14ac:dyDescent="0.25">
      <c r="E753" s="24"/>
      <c r="F753" s="24"/>
      <c r="G753" s="24"/>
      <c r="H753" s="24"/>
      <c r="L753" s="21"/>
      <c r="N753" s="26"/>
      <c r="O753" s="24"/>
      <c r="P753" s="24"/>
      <c r="Q753" s="26"/>
      <c r="R753" s="24"/>
    </row>
    <row r="754" spans="5:18" x14ac:dyDescent="0.25">
      <c r="E754" s="24"/>
      <c r="F754" s="24"/>
      <c r="G754" s="24"/>
      <c r="H754" s="24"/>
      <c r="L754" s="21"/>
      <c r="N754" s="26"/>
      <c r="O754" s="24"/>
      <c r="P754" s="24"/>
      <c r="Q754" s="26"/>
      <c r="R754" s="24"/>
    </row>
    <row r="755" spans="5:18" x14ac:dyDescent="0.25">
      <c r="E755" s="24"/>
      <c r="F755" s="24"/>
      <c r="G755" s="24"/>
      <c r="H755" s="24"/>
      <c r="L755" s="21"/>
      <c r="N755" s="26"/>
      <c r="O755" s="24"/>
      <c r="P755" s="24"/>
      <c r="Q755" s="26"/>
      <c r="R755" s="24"/>
    </row>
    <row r="756" spans="5:18" x14ac:dyDescent="0.25">
      <c r="E756" s="24"/>
      <c r="F756" s="24"/>
      <c r="G756" s="24"/>
      <c r="H756" s="24"/>
      <c r="L756" s="21"/>
      <c r="N756" s="26"/>
      <c r="O756" s="24"/>
      <c r="P756" s="24"/>
      <c r="Q756" s="26"/>
      <c r="R756" s="24"/>
    </row>
    <row r="757" spans="5:18" x14ac:dyDescent="0.25">
      <c r="E757" s="24"/>
      <c r="F757" s="24"/>
      <c r="G757" s="24"/>
      <c r="H757" s="24"/>
      <c r="L757" s="21"/>
      <c r="N757" s="26"/>
      <c r="O757" s="24"/>
      <c r="P757" s="24"/>
      <c r="Q757" s="26"/>
      <c r="R757" s="24"/>
    </row>
    <row r="758" spans="5:18" x14ac:dyDescent="0.25">
      <c r="E758" s="24"/>
      <c r="F758" s="24"/>
      <c r="G758" s="24"/>
      <c r="H758" s="24"/>
      <c r="L758" s="21"/>
      <c r="N758" s="26"/>
      <c r="O758" s="24"/>
      <c r="P758" s="24"/>
      <c r="Q758" s="26"/>
      <c r="R758" s="24"/>
    </row>
    <row r="759" spans="5:18" x14ac:dyDescent="0.25">
      <c r="E759" s="24"/>
      <c r="F759" s="24"/>
      <c r="G759" s="24"/>
      <c r="H759" s="24"/>
      <c r="L759" s="21"/>
      <c r="N759" s="26"/>
      <c r="O759" s="24"/>
      <c r="P759" s="24"/>
      <c r="Q759" s="26"/>
      <c r="R759" s="24"/>
    </row>
    <row r="760" spans="5:18" x14ac:dyDescent="0.25">
      <c r="E760" s="24"/>
      <c r="F760" s="24"/>
      <c r="G760" s="24"/>
      <c r="H760" s="24"/>
      <c r="L760" s="21"/>
      <c r="N760" s="26"/>
      <c r="O760" s="24"/>
      <c r="P760" s="24"/>
      <c r="Q760" s="26"/>
      <c r="R760" s="24"/>
    </row>
    <row r="761" spans="5:18" x14ac:dyDescent="0.25">
      <c r="E761" s="24"/>
      <c r="F761" s="24"/>
      <c r="G761" s="24"/>
      <c r="H761" s="24"/>
      <c r="L761" s="21"/>
      <c r="N761" s="26"/>
      <c r="O761" s="24"/>
      <c r="P761" s="24"/>
      <c r="Q761" s="26"/>
      <c r="R761" s="24"/>
    </row>
    <row r="762" spans="5:18" x14ac:dyDescent="0.25">
      <c r="E762" s="24"/>
      <c r="F762" s="24"/>
      <c r="G762" s="24"/>
      <c r="H762" s="24"/>
      <c r="L762" s="21"/>
      <c r="N762" s="26"/>
      <c r="O762" s="24"/>
      <c r="P762" s="24"/>
      <c r="Q762" s="26"/>
      <c r="R762" s="24"/>
    </row>
    <row r="763" spans="5:18" x14ac:dyDescent="0.25">
      <c r="E763" s="24"/>
      <c r="F763" s="24"/>
      <c r="G763" s="24"/>
      <c r="H763" s="24"/>
      <c r="L763" s="21"/>
      <c r="N763" s="26"/>
      <c r="O763" s="24"/>
      <c r="P763" s="24"/>
      <c r="Q763" s="26"/>
      <c r="R763" s="24"/>
    </row>
    <row r="764" spans="5:18" x14ac:dyDescent="0.25">
      <c r="E764" s="24"/>
      <c r="F764" s="24"/>
      <c r="G764" s="24"/>
      <c r="H764" s="24"/>
      <c r="L764" s="21"/>
      <c r="N764" s="26"/>
      <c r="O764" s="24"/>
      <c r="P764" s="24"/>
      <c r="Q764" s="26"/>
      <c r="R764" s="24"/>
    </row>
    <row r="765" spans="5:18" x14ac:dyDescent="0.25">
      <c r="E765" s="24"/>
      <c r="F765" s="24"/>
      <c r="G765" s="24"/>
      <c r="H765" s="24"/>
      <c r="L765" s="21"/>
      <c r="N765" s="26"/>
      <c r="O765" s="24"/>
      <c r="P765" s="24"/>
      <c r="Q765" s="26"/>
      <c r="R765" s="24"/>
    </row>
    <row r="766" spans="5:18" x14ac:dyDescent="0.25">
      <c r="E766" s="24"/>
      <c r="F766" s="24"/>
      <c r="G766" s="24"/>
      <c r="H766" s="24"/>
      <c r="L766" s="21"/>
      <c r="N766" s="26"/>
      <c r="O766" s="24"/>
      <c r="P766" s="24"/>
      <c r="Q766" s="26"/>
      <c r="R766" s="24"/>
    </row>
    <row r="767" spans="5:18" x14ac:dyDescent="0.25">
      <c r="E767" s="24"/>
      <c r="F767" s="24"/>
      <c r="G767" s="24"/>
      <c r="H767" s="24"/>
      <c r="L767" s="21"/>
      <c r="N767" s="26"/>
      <c r="O767" s="24"/>
      <c r="P767" s="24"/>
      <c r="Q767" s="26"/>
      <c r="R767" s="24"/>
    </row>
    <row r="768" spans="5:18" x14ac:dyDescent="0.25">
      <c r="E768" s="24"/>
      <c r="F768" s="24"/>
      <c r="G768" s="24"/>
      <c r="H768" s="24"/>
      <c r="L768" s="21"/>
      <c r="N768" s="26"/>
      <c r="O768" s="24"/>
      <c r="P768" s="24"/>
      <c r="Q768" s="26"/>
      <c r="R768" s="24"/>
    </row>
    <row r="769" spans="5:18" x14ac:dyDescent="0.25">
      <c r="E769" s="24"/>
      <c r="F769" s="24"/>
      <c r="G769" s="24"/>
      <c r="H769" s="24"/>
      <c r="L769" s="21"/>
      <c r="N769" s="26"/>
      <c r="O769" s="24"/>
      <c r="P769" s="24"/>
      <c r="Q769" s="26"/>
      <c r="R769" s="24"/>
    </row>
    <row r="770" spans="5:18" x14ac:dyDescent="0.25">
      <c r="E770" s="24"/>
      <c r="F770" s="24"/>
      <c r="G770" s="24"/>
      <c r="H770" s="24"/>
      <c r="L770" s="21"/>
      <c r="N770" s="26"/>
      <c r="O770" s="24"/>
      <c r="P770" s="24"/>
      <c r="Q770" s="26"/>
      <c r="R770" s="24"/>
    </row>
    <row r="771" spans="5:18" x14ac:dyDescent="0.25">
      <c r="E771" s="24"/>
      <c r="F771" s="24"/>
      <c r="G771" s="24"/>
      <c r="H771" s="24"/>
      <c r="L771" s="21"/>
      <c r="N771" s="26"/>
      <c r="O771" s="24"/>
      <c r="P771" s="24"/>
      <c r="Q771" s="26"/>
      <c r="R771" s="24"/>
    </row>
    <row r="772" spans="5:18" x14ac:dyDescent="0.25">
      <c r="E772" s="24"/>
      <c r="F772" s="24"/>
      <c r="G772" s="24"/>
      <c r="H772" s="24"/>
      <c r="L772" s="21"/>
      <c r="N772" s="26"/>
      <c r="O772" s="24"/>
      <c r="P772" s="24"/>
      <c r="Q772" s="26"/>
      <c r="R772" s="24"/>
    </row>
    <row r="773" spans="5:18" x14ac:dyDescent="0.25">
      <c r="E773" s="24"/>
      <c r="F773" s="24"/>
      <c r="G773" s="24"/>
      <c r="H773" s="24"/>
      <c r="L773" s="21"/>
      <c r="N773" s="26"/>
      <c r="O773" s="24"/>
      <c r="P773" s="24"/>
      <c r="Q773" s="26"/>
      <c r="R773" s="24"/>
    </row>
    <row r="774" spans="5:18" x14ac:dyDescent="0.25">
      <c r="E774" s="24"/>
      <c r="F774" s="24"/>
      <c r="G774" s="24"/>
      <c r="H774" s="24"/>
      <c r="L774" s="21"/>
      <c r="N774" s="26"/>
      <c r="O774" s="24"/>
      <c r="P774" s="24"/>
      <c r="Q774" s="26"/>
      <c r="R774" s="24"/>
    </row>
    <row r="775" spans="5:18" x14ac:dyDescent="0.25">
      <c r="E775" s="24"/>
      <c r="F775" s="24"/>
      <c r="G775" s="24"/>
      <c r="H775" s="24"/>
      <c r="L775" s="21"/>
      <c r="N775" s="26"/>
      <c r="O775" s="24"/>
      <c r="P775" s="24"/>
      <c r="Q775" s="26"/>
      <c r="R775" s="24"/>
    </row>
    <row r="776" spans="5:18" x14ac:dyDescent="0.25">
      <c r="E776" s="24"/>
      <c r="F776" s="24"/>
      <c r="G776" s="24"/>
      <c r="H776" s="24"/>
      <c r="L776" s="21"/>
      <c r="N776" s="26"/>
      <c r="O776" s="24"/>
      <c r="P776" s="24"/>
      <c r="Q776" s="26"/>
      <c r="R776" s="24"/>
    </row>
    <row r="777" spans="5:18" x14ac:dyDescent="0.25">
      <c r="E777" s="24"/>
      <c r="F777" s="24"/>
      <c r="G777" s="24"/>
      <c r="H777" s="24"/>
      <c r="L777" s="21"/>
      <c r="N777" s="26"/>
      <c r="O777" s="24"/>
      <c r="P777" s="24"/>
      <c r="Q777" s="26"/>
      <c r="R777" s="24"/>
    </row>
    <row r="778" spans="5:18" x14ac:dyDescent="0.25">
      <c r="E778" s="24"/>
      <c r="F778" s="24"/>
      <c r="G778" s="24"/>
      <c r="H778" s="24"/>
      <c r="L778" s="21"/>
      <c r="N778" s="26"/>
      <c r="O778" s="24"/>
      <c r="P778" s="24"/>
      <c r="Q778" s="26"/>
      <c r="R778" s="24"/>
    </row>
    <row r="779" spans="5:18" x14ac:dyDescent="0.25">
      <c r="E779" s="24"/>
      <c r="F779" s="24"/>
      <c r="G779" s="24"/>
      <c r="H779" s="24"/>
      <c r="L779" s="21"/>
      <c r="N779" s="26"/>
      <c r="O779" s="24"/>
      <c r="P779" s="24"/>
      <c r="Q779" s="26"/>
      <c r="R779" s="24"/>
    </row>
    <row r="780" spans="5:18" x14ac:dyDescent="0.25">
      <c r="E780" s="24"/>
      <c r="F780" s="24"/>
      <c r="G780" s="24"/>
      <c r="H780" s="24"/>
      <c r="L780" s="21"/>
      <c r="N780" s="26"/>
      <c r="O780" s="24"/>
      <c r="P780" s="24"/>
      <c r="Q780" s="26"/>
      <c r="R780" s="24"/>
    </row>
    <row r="781" spans="5:18" x14ac:dyDescent="0.25">
      <c r="E781" s="24"/>
      <c r="F781" s="24"/>
      <c r="G781" s="24"/>
      <c r="H781" s="24"/>
      <c r="L781" s="21"/>
      <c r="N781" s="26"/>
      <c r="O781" s="24"/>
      <c r="P781" s="24"/>
      <c r="Q781" s="26"/>
      <c r="R781" s="24"/>
    </row>
    <row r="782" spans="5:18" x14ac:dyDescent="0.25">
      <c r="E782" s="24"/>
      <c r="F782" s="24"/>
      <c r="G782" s="24"/>
      <c r="H782" s="24"/>
      <c r="L782" s="21"/>
      <c r="N782" s="26"/>
      <c r="O782" s="24"/>
      <c r="P782" s="24"/>
      <c r="Q782" s="26"/>
      <c r="R782" s="24"/>
    </row>
    <row r="783" spans="5:18" x14ac:dyDescent="0.25">
      <c r="E783" s="24"/>
      <c r="F783" s="24"/>
      <c r="G783" s="24"/>
      <c r="H783" s="24"/>
      <c r="L783" s="21"/>
      <c r="N783" s="26"/>
      <c r="O783" s="24"/>
      <c r="P783" s="24"/>
      <c r="Q783" s="26"/>
      <c r="R783" s="24"/>
    </row>
    <row r="784" spans="5:18" x14ac:dyDescent="0.25">
      <c r="E784" s="24"/>
      <c r="F784" s="24"/>
      <c r="G784" s="24"/>
      <c r="H784" s="24"/>
      <c r="L784" s="21"/>
      <c r="N784" s="26"/>
      <c r="O784" s="24"/>
      <c r="P784" s="24"/>
      <c r="Q784" s="26"/>
      <c r="R784" s="24"/>
    </row>
    <row r="785" spans="5:18" x14ac:dyDescent="0.25">
      <c r="E785" s="24"/>
      <c r="F785" s="24"/>
      <c r="G785" s="24"/>
      <c r="H785" s="24"/>
      <c r="L785" s="21"/>
      <c r="N785" s="26"/>
      <c r="O785" s="24"/>
      <c r="P785" s="24"/>
      <c r="Q785" s="26"/>
      <c r="R785" s="24"/>
    </row>
    <row r="786" spans="5:18" x14ac:dyDescent="0.25">
      <c r="E786" s="24"/>
      <c r="F786" s="24"/>
      <c r="G786" s="24"/>
      <c r="H786" s="24"/>
      <c r="L786" s="21"/>
      <c r="N786" s="26"/>
      <c r="O786" s="24"/>
      <c r="P786" s="24"/>
      <c r="Q786" s="26"/>
      <c r="R786" s="24"/>
    </row>
    <row r="787" spans="5:18" x14ac:dyDescent="0.25">
      <c r="E787" s="24"/>
      <c r="F787" s="24"/>
      <c r="G787" s="24"/>
      <c r="H787" s="24"/>
      <c r="L787" s="21"/>
      <c r="N787" s="26"/>
      <c r="O787" s="24"/>
      <c r="P787" s="24"/>
      <c r="Q787" s="26"/>
      <c r="R787" s="24"/>
    </row>
    <row r="788" spans="5:18" x14ac:dyDescent="0.25">
      <c r="E788" s="24"/>
      <c r="F788" s="24"/>
      <c r="G788" s="24"/>
      <c r="H788" s="24"/>
      <c r="L788" s="21"/>
      <c r="N788" s="26"/>
      <c r="O788" s="24"/>
      <c r="P788" s="24"/>
      <c r="Q788" s="26"/>
      <c r="R788" s="24"/>
    </row>
    <row r="789" spans="5:18" x14ac:dyDescent="0.25">
      <c r="E789" s="24"/>
      <c r="F789" s="24"/>
      <c r="G789" s="24"/>
      <c r="H789" s="24"/>
      <c r="L789" s="21"/>
      <c r="N789" s="26"/>
      <c r="O789" s="24"/>
      <c r="P789" s="24"/>
      <c r="Q789" s="26"/>
      <c r="R789" s="24"/>
    </row>
    <row r="790" spans="5:18" x14ac:dyDescent="0.25">
      <c r="E790" s="24"/>
      <c r="F790" s="24"/>
      <c r="G790" s="24"/>
      <c r="H790" s="24"/>
      <c r="L790" s="21"/>
      <c r="N790" s="26"/>
      <c r="O790" s="24"/>
      <c r="P790" s="24"/>
      <c r="Q790" s="26"/>
      <c r="R790" s="24"/>
    </row>
    <row r="791" spans="5:18" x14ac:dyDescent="0.25">
      <c r="E791" s="24"/>
      <c r="F791" s="24"/>
      <c r="G791" s="24"/>
      <c r="H791" s="24"/>
      <c r="L791" s="21"/>
      <c r="N791" s="26"/>
      <c r="O791" s="24"/>
      <c r="P791" s="24"/>
      <c r="Q791" s="26"/>
      <c r="R791" s="24"/>
    </row>
    <row r="792" spans="5:18" x14ac:dyDescent="0.25">
      <c r="E792" s="24"/>
      <c r="F792" s="24"/>
      <c r="G792" s="24"/>
      <c r="H792" s="24"/>
      <c r="L792" s="21"/>
      <c r="N792" s="26"/>
      <c r="O792" s="24"/>
      <c r="P792" s="24"/>
      <c r="Q792" s="26"/>
      <c r="R792" s="24"/>
    </row>
    <row r="793" spans="5:18" x14ac:dyDescent="0.25">
      <c r="E793" s="24"/>
      <c r="F793" s="24"/>
      <c r="G793" s="24"/>
      <c r="H793" s="24"/>
      <c r="L793" s="21"/>
      <c r="N793" s="26"/>
      <c r="O793" s="24"/>
      <c r="P793" s="24"/>
      <c r="Q793" s="26"/>
      <c r="R793" s="24"/>
    </row>
    <row r="794" spans="5:18" x14ac:dyDescent="0.25">
      <c r="E794" s="24"/>
      <c r="F794" s="24"/>
      <c r="G794" s="24"/>
      <c r="H794" s="24"/>
      <c r="L794" s="21"/>
      <c r="N794" s="26"/>
      <c r="O794" s="24"/>
      <c r="P794" s="24"/>
      <c r="Q794" s="26"/>
      <c r="R794" s="24"/>
    </row>
    <row r="795" spans="5:18" x14ac:dyDescent="0.25">
      <c r="E795" s="24"/>
      <c r="F795" s="24"/>
      <c r="G795" s="24"/>
      <c r="H795" s="24"/>
      <c r="L795" s="21"/>
      <c r="N795" s="26"/>
      <c r="O795" s="24"/>
      <c r="P795" s="24"/>
      <c r="Q795" s="26"/>
      <c r="R795" s="24"/>
    </row>
    <row r="796" spans="5:18" x14ac:dyDescent="0.25">
      <c r="E796" s="24"/>
      <c r="F796" s="24"/>
      <c r="G796" s="24"/>
      <c r="H796" s="24"/>
      <c r="L796" s="21"/>
      <c r="N796" s="26"/>
      <c r="O796" s="24"/>
      <c r="P796" s="24"/>
      <c r="Q796" s="26"/>
      <c r="R796" s="24"/>
    </row>
    <row r="797" spans="5:18" x14ac:dyDescent="0.25">
      <c r="E797" s="24"/>
      <c r="F797" s="24"/>
      <c r="G797" s="24"/>
      <c r="H797" s="24"/>
      <c r="L797" s="21"/>
      <c r="N797" s="26"/>
      <c r="O797" s="24"/>
      <c r="P797" s="24"/>
      <c r="Q797" s="26"/>
      <c r="R797" s="24"/>
    </row>
    <row r="798" spans="5:18" x14ac:dyDescent="0.25">
      <c r="E798" s="24"/>
      <c r="F798" s="24"/>
      <c r="G798" s="24"/>
      <c r="H798" s="24"/>
      <c r="L798" s="21"/>
      <c r="N798" s="26"/>
      <c r="O798" s="24"/>
      <c r="P798" s="24"/>
      <c r="Q798" s="26"/>
      <c r="R798" s="24"/>
    </row>
    <row r="799" spans="5:18" x14ac:dyDescent="0.25">
      <c r="E799" s="24"/>
      <c r="F799" s="24"/>
      <c r="G799" s="24"/>
      <c r="H799" s="24"/>
      <c r="L799" s="21"/>
      <c r="N799" s="26"/>
      <c r="O799" s="24"/>
      <c r="P799" s="24"/>
      <c r="Q799" s="26"/>
      <c r="R799" s="24"/>
    </row>
    <row r="800" spans="5:18" x14ac:dyDescent="0.25">
      <c r="E800" s="24"/>
      <c r="F800" s="24"/>
      <c r="G800" s="24"/>
      <c r="H800" s="24"/>
      <c r="L800" s="21"/>
      <c r="N800" s="26"/>
      <c r="O800" s="24"/>
      <c r="P800" s="24"/>
      <c r="Q800" s="26"/>
      <c r="R800" s="24"/>
    </row>
    <row r="801" spans="5:18" x14ac:dyDescent="0.25">
      <c r="E801" s="24"/>
      <c r="F801" s="24"/>
      <c r="G801" s="24"/>
      <c r="H801" s="24"/>
      <c r="L801" s="21"/>
      <c r="N801" s="26"/>
      <c r="O801" s="24"/>
      <c r="P801" s="24"/>
      <c r="Q801" s="26"/>
      <c r="R801" s="24"/>
    </row>
    <row r="802" spans="5:18" x14ac:dyDescent="0.25">
      <c r="E802" s="24"/>
      <c r="F802" s="24"/>
      <c r="G802" s="24"/>
      <c r="H802" s="24"/>
      <c r="L802" s="21"/>
      <c r="N802" s="26"/>
      <c r="O802" s="24"/>
      <c r="P802" s="24"/>
      <c r="Q802" s="26"/>
      <c r="R802" s="24"/>
    </row>
    <row r="803" spans="5:18" x14ac:dyDescent="0.25">
      <c r="E803" s="24"/>
      <c r="F803" s="24"/>
      <c r="G803" s="24"/>
      <c r="H803" s="24"/>
      <c r="L803" s="21"/>
      <c r="N803" s="26"/>
      <c r="O803" s="24"/>
      <c r="P803" s="24"/>
      <c r="Q803" s="26"/>
      <c r="R803" s="24"/>
    </row>
    <row r="804" spans="5:18" x14ac:dyDescent="0.25">
      <c r="E804" s="24"/>
      <c r="F804" s="24"/>
      <c r="G804" s="24"/>
      <c r="H804" s="24"/>
      <c r="L804" s="21"/>
      <c r="N804" s="26"/>
      <c r="O804" s="24"/>
      <c r="P804" s="24"/>
      <c r="Q804" s="26"/>
      <c r="R804" s="24"/>
    </row>
    <row r="805" spans="5:18" x14ac:dyDescent="0.25">
      <c r="E805" s="24"/>
      <c r="F805" s="24"/>
      <c r="G805" s="24"/>
      <c r="H805" s="24"/>
      <c r="L805" s="21"/>
      <c r="N805" s="26"/>
      <c r="O805" s="24"/>
      <c r="P805" s="24"/>
      <c r="Q805" s="26"/>
      <c r="R805" s="24"/>
    </row>
    <row r="806" spans="5:18" x14ac:dyDescent="0.25">
      <c r="E806" s="24"/>
      <c r="F806" s="24"/>
      <c r="G806" s="24"/>
      <c r="H806" s="24"/>
      <c r="L806" s="21"/>
      <c r="N806" s="26"/>
      <c r="O806" s="24"/>
      <c r="P806" s="24"/>
      <c r="Q806" s="26"/>
      <c r="R806" s="24"/>
    </row>
    <row r="807" spans="5:18" x14ac:dyDescent="0.25">
      <c r="E807" s="24"/>
      <c r="F807" s="24"/>
      <c r="G807" s="24"/>
      <c r="H807" s="24"/>
      <c r="L807" s="21"/>
      <c r="N807" s="26"/>
      <c r="O807" s="24"/>
      <c r="P807" s="24"/>
      <c r="Q807" s="26"/>
      <c r="R807" s="24"/>
    </row>
    <row r="808" spans="5:18" x14ac:dyDescent="0.25">
      <c r="E808" s="24"/>
      <c r="F808" s="24"/>
      <c r="G808" s="24"/>
      <c r="H808" s="24"/>
      <c r="L808" s="21"/>
      <c r="N808" s="26"/>
      <c r="O808" s="24"/>
      <c r="P808" s="24"/>
      <c r="Q808" s="26"/>
      <c r="R808" s="24"/>
    </row>
    <row r="809" spans="5:18" x14ac:dyDescent="0.25">
      <c r="E809" s="24"/>
      <c r="F809" s="24"/>
      <c r="G809" s="24"/>
      <c r="H809" s="24"/>
      <c r="L809" s="21"/>
      <c r="N809" s="26"/>
      <c r="O809" s="24"/>
      <c r="P809" s="24"/>
      <c r="Q809" s="26"/>
      <c r="R809" s="24"/>
    </row>
    <row r="810" spans="5:18" x14ac:dyDescent="0.25">
      <c r="E810" s="24"/>
      <c r="F810" s="24"/>
      <c r="G810" s="24"/>
      <c r="H810" s="24"/>
      <c r="L810" s="21"/>
      <c r="N810" s="26"/>
      <c r="O810" s="24"/>
      <c r="P810" s="24"/>
      <c r="Q810" s="26"/>
      <c r="R810" s="24"/>
    </row>
    <row r="811" spans="5:18" x14ac:dyDescent="0.25">
      <c r="E811" s="24"/>
      <c r="F811" s="24"/>
      <c r="G811" s="24"/>
      <c r="H811" s="24"/>
      <c r="L811" s="21"/>
      <c r="N811" s="26"/>
      <c r="O811" s="24"/>
      <c r="P811" s="24"/>
      <c r="Q811" s="26"/>
      <c r="R811" s="24"/>
    </row>
    <row r="812" spans="5:18" x14ac:dyDescent="0.25">
      <c r="E812" s="24"/>
      <c r="F812" s="24"/>
      <c r="G812" s="24"/>
      <c r="H812" s="24"/>
      <c r="L812" s="21"/>
      <c r="N812" s="26"/>
      <c r="O812" s="24"/>
      <c r="P812" s="24"/>
      <c r="Q812" s="26"/>
      <c r="R812" s="24"/>
    </row>
    <row r="813" spans="5:18" x14ac:dyDescent="0.25">
      <c r="E813" s="24"/>
      <c r="F813" s="24"/>
      <c r="G813" s="24"/>
      <c r="H813" s="24"/>
      <c r="L813" s="21"/>
      <c r="N813" s="26"/>
      <c r="O813" s="24"/>
      <c r="P813" s="24"/>
      <c r="Q813" s="26"/>
      <c r="R813" s="24"/>
    </row>
    <row r="814" spans="5:18" x14ac:dyDescent="0.25">
      <c r="E814" s="24"/>
      <c r="F814" s="24"/>
      <c r="G814" s="24"/>
      <c r="H814" s="24"/>
      <c r="L814" s="21"/>
      <c r="N814" s="26"/>
      <c r="O814" s="24"/>
      <c r="P814" s="24"/>
      <c r="Q814" s="26"/>
      <c r="R814" s="24"/>
    </row>
    <row r="815" spans="5:18" x14ac:dyDescent="0.25">
      <c r="E815" s="24"/>
      <c r="F815" s="24"/>
      <c r="G815" s="24"/>
      <c r="H815" s="24"/>
      <c r="L815" s="21"/>
      <c r="N815" s="26"/>
      <c r="O815" s="24"/>
      <c r="P815" s="24"/>
      <c r="Q815" s="26"/>
      <c r="R815" s="24"/>
    </row>
    <row r="816" spans="5:18" x14ac:dyDescent="0.25">
      <c r="E816" s="24"/>
      <c r="F816" s="24"/>
      <c r="G816" s="24"/>
      <c r="H816" s="24"/>
      <c r="L816" s="21"/>
      <c r="N816" s="26"/>
      <c r="O816" s="24"/>
      <c r="P816" s="24"/>
      <c r="Q816" s="26"/>
      <c r="R816" s="24"/>
    </row>
    <row r="817" spans="5:18" x14ac:dyDescent="0.25">
      <c r="E817" s="24"/>
      <c r="F817" s="24"/>
      <c r="G817" s="24"/>
      <c r="H817" s="24"/>
      <c r="L817" s="21"/>
      <c r="N817" s="26"/>
      <c r="O817" s="24"/>
      <c r="P817" s="24"/>
      <c r="Q817" s="26"/>
      <c r="R817" s="24"/>
    </row>
    <row r="818" spans="5:18" x14ac:dyDescent="0.25">
      <c r="E818" s="24"/>
      <c r="F818" s="24"/>
      <c r="G818" s="24"/>
      <c r="H818" s="24"/>
      <c r="L818" s="21"/>
      <c r="N818" s="26"/>
      <c r="O818" s="24"/>
      <c r="P818" s="24"/>
      <c r="Q818" s="26"/>
      <c r="R818" s="24"/>
    </row>
    <row r="819" spans="5:18" x14ac:dyDescent="0.25">
      <c r="E819" s="24"/>
      <c r="F819" s="24"/>
      <c r="G819" s="24"/>
      <c r="H819" s="24"/>
      <c r="L819" s="21"/>
      <c r="N819" s="26"/>
      <c r="O819" s="24"/>
      <c r="P819" s="24"/>
      <c r="Q819" s="26"/>
      <c r="R819" s="24"/>
    </row>
    <row r="820" spans="5:18" x14ac:dyDescent="0.25">
      <c r="E820" s="24"/>
      <c r="F820" s="24"/>
      <c r="G820" s="24"/>
      <c r="H820" s="24"/>
      <c r="L820" s="21"/>
      <c r="N820" s="26"/>
      <c r="O820" s="24"/>
      <c r="P820" s="24"/>
      <c r="Q820" s="26"/>
      <c r="R820" s="24"/>
    </row>
    <row r="821" spans="5:18" x14ac:dyDescent="0.25">
      <c r="E821" s="24"/>
      <c r="F821" s="24"/>
      <c r="G821" s="24"/>
      <c r="H821" s="24"/>
      <c r="L821" s="21"/>
      <c r="N821" s="26"/>
      <c r="O821" s="24"/>
      <c r="P821" s="24"/>
      <c r="Q821" s="26"/>
      <c r="R821" s="24"/>
    </row>
    <row r="822" spans="5:18" x14ac:dyDescent="0.25">
      <c r="E822" s="24"/>
      <c r="F822" s="24"/>
      <c r="G822" s="24"/>
      <c r="H822" s="24"/>
      <c r="L822" s="21"/>
      <c r="N822" s="26"/>
      <c r="O822" s="24"/>
      <c r="P822" s="24"/>
      <c r="Q822" s="26"/>
      <c r="R822" s="24"/>
    </row>
    <row r="823" spans="5:18" x14ac:dyDescent="0.25">
      <c r="E823" s="24"/>
      <c r="F823" s="24"/>
      <c r="G823" s="24"/>
      <c r="H823" s="24"/>
      <c r="L823" s="21"/>
      <c r="N823" s="26"/>
      <c r="O823" s="24"/>
      <c r="P823" s="24"/>
      <c r="Q823" s="26"/>
      <c r="R823" s="24"/>
    </row>
    <row r="824" spans="5:18" x14ac:dyDescent="0.25">
      <c r="E824" s="24"/>
      <c r="F824" s="24"/>
      <c r="G824" s="24"/>
      <c r="H824" s="24"/>
      <c r="L824" s="21"/>
      <c r="N824" s="26"/>
      <c r="O824" s="24"/>
      <c r="P824" s="24"/>
      <c r="Q824" s="26"/>
      <c r="R824" s="24"/>
    </row>
    <row r="825" spans="5:18" x14ac:dyDescent="0.25">
      <c r="E825" s="24"/>
      <c r="F825" s="24"/>
      <c r="G825" s="24"/>
      <c r="H825" s="24"/>
      <c r="L825" s="21"/>
      <c r="N825" s="26"/>
      <c r="O825" s="24"/>
      <c r="P825" s="24"/>
      <c r="Q825" s="26"/>
      <c r="R825" s="24"/>
    </row>
    <row r="826" spans="5:18" x14ac:dyDescent="0.25">
      <c r="E826" s="24"/>
      <c r="F826" s="24"/>
      <c r="G826" s="24"/>
      <c r="H826" s="24"/>
      <c r="L826" s="21"/>
      <c r="N826" s="26"/>
      <c r="O826" s="24"/>
      <c r="P826" s="24"/>
      <c r="Q826" s="26"/>
      <c r="R826" s="24"/>
    </row>
    <row r="827" spans="5:18" x14ac:dyDescent="0.25">
      <c r="E827" s="24"/>
      <c r="F827" s="24"/>
      <c r="G827" s="24"/>
      <c r="H827" s="24"/>
      <c r="L827" s="21"/>
      <c r="N827" s="26"/>
      <c r="O827" s="24"/>
      <c r="P827" s="24"/>
      <c r="Q827" s="26"/>
      <c r="R827" s="24"/>
    </row>
    <row r="828" spans="5:18" x14ac:dyDescent="0.25">
      <c r="E828" s="24"/>
      <c r="F828" s="24"/>
      <c r="G828" s="24"/>
      <c r="H828" s="24"/>
      <c r="L828" s="21"/>
      <c r="N828" s="26"/>
      <c r="O828" s="24"/>
      <c r="P828" s="24"/>
      <c r="Q828" s="26"/>
      <c r="R828" s="24"/>
    </row>
    <row r="829" spans="5:18" x14ac:dyDescent="0.25">
      <c r="E829" s="24"/>
      <c r="F829" s="24"/>
      <c r="G829" s="24"/>
      <c r="H829" s="24"/>
      <c r="L829" s="21"/>
      <c r="N829" s="26"/>
      <c r="O829" s="24"/>
      <c r="P829" s="24"/>
      <c r="Q829" s="26"/>
      <c r="R829" s="24"/>
    </row>
    <row r="830" spans="5:18" x14ac:dyDescent="0.25">
      <c r="E830" s="24"/>
      <c r="F830" s="24"/>
      <c r="G830" s="24"/>
      <c r="H830" s="24"/>
      <c r="L830" s="21"/>
      <c r="N830" s="26"/>
      <c r="O830" s="24"/>
      <c r="P830" s="24"/>
      <c r="Q830" s="26"/>
      <c r="R830" s="24"/>
    </row>
    <row r="831" spans="5:18" x14ac:dyDescent="0.25">
      <c r="E831" s="24"/>
      <c r="F831" s="24"/>
      <c r="G831" s="24"/>
      <c r="H831" s="24"/>
      <c r="L831" s="21"/>
      <c r="N831" s="26"/>
      <c r="O831" s="24"/>
      <c r="P831" s="24"/>
      <c r="Q831" s="26"/>
      <c r="R831" s="24"/>
    </row>
    <row r="832" spans="5:18" x14ac:dyDescent="0.25">
      <c r="E832" s="24"/>
      <c r="F832" s="24"/>
      <c r="G832" s="24"/>
      <c r="H832" s="24"/>
      <c r="L832" s="21"/>
      <c r="N832" s="26"/>
      <c r="O832" s="24"/>
      <c r="P832" s="24"/>
      <c r="Q832" s="26"/>
      <c r="R832" s="24"/>
    </row>
    <row r="833" spans="5:18" x14ac:dyDescent="0.25">
      <c r="E833" s="24"/>
      <c r="F833" s="24"/>
      <c r="G833" s="24"/>
      <c r="H833" s="24"/>
      <c r="L833" s="21"/>
      <c r="N833" s="26"/>
      <c r="O833" s="24"/>
      <c r="P833" s="24"/>
      <c r="Q833" s="26"/>
      <c r="R833" s="24"/>
    </row>
    <row r="834" spans="5:18" x14ac:dyDescent="0.25">
      <c r="E834" s="24"/>
      <c r="F834" s="24"/>
      <c r="G834" s="24"/>
      <c r="H834" s="24"/>
      <c r="L834" s="21"/>
      <c r="N834" s="26"/>
      <c r="O834" s="24"/>
      <c r="P834" s="24"/>
      <c r="Q834" s="26"/>
      <c r="R834" s="24"/>
    </row>
    <row r="835" spans="5:18" x14ac:dyDescent="0.25">
      <c r="E835" s="24"/>
      <c r="F835" s="24"/>
      <c r="G835" s="24"/>
      <c r="H835" s="24"/>
      <c r="L835" s="21"/>
      <c r="N835" s="26"/>
      <c r="O835" s="24"/>
      <c r="P835" s="24"/>
      <c r="Q835" s="26"/>
      <c r="R835" s="24"/>
    </row>
    <row r="836" spans="5:18" x14ac:dyDescent="0.25">
      <c r="E836" s="24"/>
      <c r="F836" s="24"/>
      <c r="G836" s="24"/>
      <c r="H836" s="24"/>
      <c r="L836" s="21"/>
      <c r="N836" s="26"/>
      <c r="O836" s="24"/>
      <c r="P836" s="24"/>
      <c r="Q836" s="26"/>
      <c r="R836" s="24"/>
    </row>
    <row r="837" spans="5:18" x14ac:dyDescent="0.25">
      <c r="E837" s="24"/>
      <c r="F837" s="24"/>
      <c r="G837" s="24"/>
      <c r="H837" s="24"/>
      <c r="L837" s="21"/>
      <c r="N837" s="26"/>
      <c r="O837" s="24"/>
      <c r="P837" s="24"/>
      <c r="Q837" s="26"/>
      <c r="R837" s="24"/>
    </row>
    <row r="838" spans="5:18" x14ac:dyDescent="0.25">
      <c r="E838" s="24"/>
      <c r="F838" s="24"/>
      <c r="G838" s="24"/>
      <c r="H838" s="24"/>
      <c r="L838" s="21"/>
      <c r="N838" s="26"/>
      <c r="O838" s="24"/>
      <c r="P838" s="24"/>
      <c r="Q838" s="26"/>
      <c r="R838" s="24"/>
    </row>
    <row r="839" spans="5:18" x14ac:dyDescent="0.25">
      <c r="E839" s="24"/>
      <c r="F839" s="24"/>
      <c r="G839" s="24"/>
      <c r="H839" s="24"/>
      <c r="L839" s="21"/>
      <c r="N839" s="26"/>
      <c r="O839" s="24"/>
      <c r="P839" s="24"/>
      <c r="Q839" s="26"/>
      <c r="R839" s="24"/>
    </row>
    <row r="840" spans="5:18" x14ac:dyDescent="0.25">
      <c r="E840" s="24"/>
      <c r="F840" s="24"/>
      <c r="G840" s="24"/>
      <c r="H840" s="24"/>
      <c r="L840" s="21"/>
      <c r="N840" s="26"/>
      <c r="O840" s="24"/>
      <c r="P840" s="24"/>
      <c r="Q840" s="26"/>
      <c r="R840" s="24"/>
    </row>
    <row r="841" spans="5:18" x14ac:dyDescent="0.25">
      <c r="E841" s="24"/>
      <c r="F841" s="24"/>
      <c r="G841" s="24"/>
      <c r="H841" s="24"/>
      <c r="L841" s="21"/>
      <c r="N841" s="26"/>
      <c r="O841" s="24"/>
      <c r="P841" s="24"/>
      <c r="Q841" s="26"/>
      <c r="R841" s="24"/>
    </row>
    <row r="842" spans="5:18" x14ac:dyDescent="0.25">
      <c r="E842" s="24"/>
      <c r="F842" s="24"/>
      <c r="G842" s="24"/>
      <c r="H842" s="24"/>
      <c r="L842" s="21"/>
      <c r="N842" s="26"/>
      <c r="O842" s="24"/>
      <c r="P842" s="24"/>
      <c r="Q842" s="26"/>
      <c r="R842" s="24"/>
    </row>
    <row r="843" spans="5:18" x14ac:dyDescent="0.25">
      <c r="E843" s="24"/>
      <c r="F843" s="24"/>
      <c r="G843" s="24"/>
      <c r="H843" s="24"/>
      <c r="L843" s="21"/>
      <c r="N843" s="26"/>
      <c r="O843" s="24"/>
      <c r="P843" s="24"/>
      <c r="Q843" s="26"/>
      <c r="R843" s="24"/>
    </row>
    <row r="844" spans="5:18" x14ac:dyDescent="0.25">
      <c r="E844" s="24"/>
      <c r="F844" s="24"/>
      <c r="G844" s="24"/>
      <c r="H844" s="24"/>
      <c r="L844" s="21"/>
      <c r="N844" s="26"/>
      <c r="O844" s="24"/>
      <c r="P844" s="24"/>
      <c r="Q844" s="26"/>
      <c r="R844" s="24"/>
    </row>
    <row r="845" spans="5:18" x14ac:dyDescent="0.25">
      <c r="E845" s="24"/>
      <c r="F845" s="24"/>
      <c r="G845" s="24"/>
      <c r="H845" s="24"/>
      <c r="L845" s="21"/>
      <c r="N845" s="26"/>
      <c r="O845" s="24"/>
      <c r="P845" s="24"/>
      <c r="Q845" s="26"/>
      <c r="R845" s="24"/>
    </row>
    <row r="846" spans="5:18" x14ac:dyDescent="0.25">
      <c r="E846" s="24"/>
      <c r="F846" s="24"/>
      <c r="G846" s="24"/>
      <c r="H846" s="24"/>
      <c r="L846" s="21"/>
      <c r="N846" s="26"/>
      <c r="O846" s="24"/>
      <c r="P846" s="24"/>
      <c r="Q846" s="26"/>
      <c r="R846" s="24"/>
    </row>
    <row r="847" spans="5:18" x14ac:dyDescent="0.25">
      <c r="E847" s="24"/>
      <c r="F847" s="24"/>
      <c r="G847" s="24"/>
      <c r="H847" s="24"/>
      <c r="L847" s="21"/>
      <c r="N847" s="26"/>
      <c r="O847" s="24"/>
      <c r="P847" s="24"/>
      <c r="Q847" s="26"/>
      <c r="R847" s="24"/>
    </row>
    <row r="848" spans="5:18" x14ac:dyDescent="0.25">
      <c r="E848" s="24"/>
      <c r="F848" s="24"/>
      <c r="G848" s="24"/>
      <c r="H848" s="24"/>
      <c r="L848" s="21"/>
      <c r="N848" s="26"/>
      <c r="O848" s="24"/>
      <c r="P848" s="24"/>
      <c r="Q848" s="26"/>
      <c r="R848" s="24"/>
    </row>
    <row r="849" spans="5:18" x14ac:dyDescent="0.25">
      <c r="E849" s="24"/>
      <c r="F849" s="24"/>
      <c r="G849" s="24"/>
      <c r="H849" s="24"/>
      <c r="L849" s="21"/>
      <c r="N849" s="26"/>
      <c r="O849" s="24"/>
      <c r="P849" s="24"/>
      <c r="Q849" s="26"/>
      <c r="R849" s="24"/>
    </row>
    <row r="850" spans="5:18" x14ac:dyDescent="0.25">
      <c r="E850" s="24"/>
      <c r="F850" s="24"/>
      <c r="G850" s="24"/>
      <c r="H850" s="24"/>
      <c r="L850" s="21"/>
      <c r="N850" s="26"/>
      <c r="O850" s="24"/>
      <c r="P850" s="24"/>
      <c r="Q850" s="26"/>
      <c r="R850" s="24"/>
    </row>
    <row r="851" spans="5:18" x14ac:dyDescent="0.25">
      <c r="E851" s="24"/>
      <c r="F851" s="24"/>
      <c r="G851" s="24"/>
      <c r="H851" s="24"/>
      <c r="L851" s="21"/>
      <c r="N851" s="26"/>
      <c r="O851" s="24"/>
      <c r="P851" s="24"/>
      <c r="Q851" s="26"/>
      <c r="R851" s="24"/>
    </row>
    <row r="852" spans="5:18" x14ac:dyDescent="0.25">
      <c r="E852" s="24"/>
      <c r="F852" s="24"/>
      <c r="G852" s="24"/>
      <c r="H852" s="24"/>
      <c r="L852" s="21"/>
      <c r="N852" s="26"/>
      <c r="O852" s="24"/>
      <c r="P852" s="24"/>
      <c r="Q852" s="26"/>
      <c r="R852" s="24"/>
    </row>
    <row r="853" spans="5:18" x14ac:dyDescent="0.25">
      <c r="E853" s="24"/>
      <c r="F853" s="24"/>
      <c r="G853" s="24"/>
      <c r="H853" s="24"/>
      <c r="L853" s="21"/>
      <c r="N853" s="26"/>
      <c r="O853" s="24"/>
      <c r="P853" s="24"/>
      <c r="Q853" s="26"/>
      <c r="R853" s="24"/>
    </row>
    <row r="854" spans="5:18" x14ac:dyDescent="0.25">
      <c r="E854" s="24"/>
      <c r="F854" s="24"/>
      <c r="G854" s="24"/>
      <c r="H854" s="24"/>
      <c r="L854" s="21"/>
      <c r="N854" s="26"/>
      <c r="O854" s="24"/>
      <c r="P854" s="24"/>
      <c r="Q854" s="26"/>
      <c r="R854" s="24"/>
    </row>
    <row r="855" spans="5:18" x14ac:dyDescent="0.25">
      <c r="E855" s="24"/>
      <c r="F855" s="24"/>
      <c r="G855" s="24"/>
      <c r="H855" s="24"/>
      <c r="L855" s="21"/>
      <c r="N855" s="26"/>
      <c r="O855" s="24"/>
      <c r="P855" s="24"/>
      <c r="Q855" s="26"/>
      <c r="R855" s="24"/>
    </row>
    <row r="856" spans="5:18" x14ac:dyDescent="0.25">
      <c r="E856" s="24"/>
      <c r="F856" s="24"/>
      <c r="G856" s="24"/>
      <c r="H856" s="24"/>
      <c r="L856" s="21"/>
      <c r="N856" s="26"/>
      <c r="O856" s="24"/>
      <c r="P856" s="24"/>
      <c r="Q856" s="26"/>
      <c r="R856" s="24"/>
    </row>
    <row r="857" spans="5:18" x14ac:dyDescent="0.25">
      <c r="E857" s="24"/>
      <c r="F857" s="24"/>
      <c r="G857" s="24"/>
      <c r="H857" s="24"/>
      <c r="L857" s="21"/>
      <c r="N857" s="26"/>
      <c r="O857" s="24"/>
      <c r="P857" s="24"/>
      <c r="Q857" s="26"/>
      <c r="R857" s="24"/>
    </row>
    <row r="858" spans="5:18" x14ac:dyDescent="0.25">
      <c r="E858" s="24"/>
      <c r="F858" s="24"/>
      <c r="G858" s="24"/>
      <c r="H858" s="24"/>
      <c r="L858" s="21"/>
      <c r="N858" s="26"/>
      <c r="O858" s="24"/>
      <c r="P858" s="24"/>
      <c r="Q858" s="26"/>
      <c r="R858" s="24"/>
    </row>
    <row r="859" spans="5:18" x14ac:dyDescent="0.25">
      <c r="E859" s="24"/>
      <c r="F859" s="24"/>
      <c r="G859" s="24"/>
      <c r="H859" s="24"/>
      <c r="L859" s="21"/>
      <c r="N859" s="26"/>
      <c r="O859" s="24"/>
      <c r="P859" s="24"/>
      <c r="Q859" s="26"/>
      <c r="R859" s="24"/>
    </row>
    <row r="860" spans="5:18" x14ac:dyDescent="0.25">
      <c r="E860" s="24"/>
      <c r="F860" s="24"/>
      <c r="G860" s="24"/>
      <c r="H860" s="24"/>
      <c r="L860" s="21"/>
      <c r="N860" s="26"/>
      <c r="O860" s="24"/>
      <c r="P860" s="24"/>
      <c r="Q860" s="26"/>
      <c r="R860" s="24"/>
    </row>
    <row r="861" spans="5:18" x14ac:dyDescent="0.25">
      <c r="E861" s="24"/>
      <c r="F861" s="24"/>
      <c r="G861" s="24"/>
      <c r="H861" s="24"/>
      <c r="L861" s="21"/>
      <c r="N861" s="26"/>
      <c r="O861" s="24"/>
      <c r="P861" s="24"/>
      <c r="Q861" s="26"/>
      <c r="R861" s="24"/>
    </row>
    <row r="862" spans="5:18" x14ac:dyDescent="0.25">
      <c r="E862" s="24"/>
      <c r="F862" s="24"/>
      <c r="G862" s="24"/>
      <c r="H862" s="24"/>
      <c r="L862" s="21"/>
      <c r="N862" s="26"/>
      <c r="O862" s="24"/>
      <c r="P862" s="24"/>
      <c r="Q862" s="26"/>
      <c r="R862" s="24"/>
    </row>
    <row r="863" spans="5:18" x14ac:dyDescent="0.25">
      <c r="E863" s="24"/>
      <c r="F863" s="24"/>
      <c r="G863" s="24"/>
      <c r="H863" s="24"/>
      <c r="L863" s="21"/>
      <c r="N863" s="26"/>
      <c r="O863" s="24"/>
      <c r="P863" s="24"/>
      <c r="Q863" s="26"/>
      <c r="R863" s="24"/>
    </row>
    <row r="864" spans="5:18" x14ac:dyDescent="0.25">
      <c r="E864" s="24"/>
      <c r="F864" s="24"/>
      <c r="G864" s="24"/>
      <c r="H864" s="24"/>
      <c r="L864" s="21"/>
      <c r="N864" s="26"/>
      <c r="O864" s="24"/>
      <c r="P864" s="24"/>
      <c r="Q864" s="26"/>
      <c r="R864" s="24"/>
    </row>
    <row r="865" spans="5:18" x14ac:dyDescent="0.25">
      <c r="E865" s="24"/>
      <c r="F865" s="24"/>
      <c r="G865" s="24"/>
      <c r="H865" s="24"/>
      <c r="L865" s="21"/>
      <c r="N865" s="26"/>
      <c r="O865" s="24"/>
      <c r="P865" s="24"/>
      <c r="Q865" s="26"/>
      <c r="R865" s="24"/>
    </row>
    <row r="866" spans="5:18" x14ac:dyDescent="0.25">
      <c r="E866" s="24"/>
      <c r="F866" s="24"/>
      <c r="G866" s="24"/>
      <c r="H866" s="24"/>
      <c r="L866" s="21"/>
      <c r="N866" s="26"/>
      <c r="O866" s="24"/>
      <c r="P866" s="24"/>
      <c r="Q866" s="26"/>
      <c r="R866" s="24"/>
    </row>
    <row r="867" spans="5:18" x14ac:dyDescent="0.25">
      <c r="E867" s="24"/>
      <c r="F867" s="24"/>
      <c r="G867" s="24"/>
      <c r="H867" s="24"/>
      <c r="L867" s="21"/>
      <c r="N867" s="26"/>
      <c r="O867" s="24"/>
      <c r="P867" s="24"/>
      <c r="Q867" s="26"/>
      <c r="R867" s="24"/>
    </row>
    <row r="868" spans="5:18" x14ac:dyDescent="0.25">
      <c r="E868" s="24"/>
      <c r="F868" s="24"/>
      <c r="G868" s="24"/>
      <c r="H868" s="24"/>
      <c r="L868" s="21"/>
      <c r="N868" s="26"/>
      <c r="O868" s="24"/>
      <c r="P868" s="24"/>
      <c r="Q868" s="26"/>
      <c r="R868" s="24"/>
    </row>
    <row r="869" spans="5:18" x14ac:dyDescent="0.25">
      <c r="E869" s="24"/>
      <c r="F869" s="24"/>
      <c r="G869" s="24"/>
      <c r="H869" s="24"/>
      <c r="L869" s="21"/>
      <c r="N869" s="26"/>
      <c r="O869" s="24"/>
      <c r="P869" s="24"/>
      <c r="Q869" s="26"/>
      <c r="R869" s="24"/>
    </row>
    <row r="870" spans="5:18" x14ac:dyDescent="0.25">
      <c r="E870" s="24"/>
      <c r="F870" s="24"/>
      <c r="G870" s="24"/>
      <c r="H870" s="24"/>
      <c r="L870" s="21"/>
      <c r="N870" s="26"/>
      <c r="O870" s="24"/>
      <c r="P870" s="24"/>
      <c r="Q870" s="26"/>
      <c r="R870" s="24"/>
    </row>
    <row r="871" spans="5:18" x14ac:dyDescent="0.25">
      <c r="E871" s="24"/>
      <c r="F871" s="24"/>
      <c r="G871" s="24"/>
      <c r="H871" s="24"/>
      <c r="L871" s="21"/>
      <c r="N871" s="26"/>
      <c r="O871" s="24"/>
      <c r="P871" s="24"/>
      <c r="Q871" s="26"/>
      <c r="R871" s="24"/>
    </row>
    <row r="872" spans="5:18" x14ac:dyDescent="0.25">
      <c r="E872" s="24"/>
      <c r="F872" s="24"/>
      <c r="G872" s="24"/>
      <c r="H872" s="24"/>
      <c r="L872" s="21"/>
      <c r="N872" s="26"/>
      <c r="O872" s="24"/>
      <c r="P872" s="24"/>
      <c r="Q872" s="26"/>
      <c r="R872" s="24"/>
    </row>
    <row r="873" spans="5:18" x14ac:dyDescent="0.25">
      <c r="E873" s="24"/>
      <c r="F873" s="24"/>
      <c r="G873" s="24"/>
      <c r="H873" s="24"/>
      <c r="L873" s="21"/>
      <c r="N873" s="26"/>
      <c r="O873" s="24"/>
      <c r="P873" s="24"/>
      <c r="Q873" s="26"/>
      <c r="R873" s="24"/>
    </row>
    <row r="874" spans="5:18" x14ac:dyDescent="0.25">
      <c r="E874" s="24"/>
      <c r="F874" s="24"/>
      <c r="G874" s="24"/>
      <c r="H874" s="24"/>
      <c r="L874" s="21"/>
      <c r="N874" s="26"/>
      <c r="O874" s="24"/>
      <c r="P874" s="24"/>
      <c r="Q874" s="26"/>
      <c r="R874" s="24"/>
    </row>
    <row r="875" spans="5:18" x14ac:dyDescent="0.25">
      <c r="E875" s="24"/>
      <c r="F875" s="24"/>
      <c r="G875" s="24"/>
      <c r="H875" s="24"/>
      <c r="L875" s="21"/>
      <c r="N875" s="26"/>
      <c r="O875" s="24"/>
      <c r="P875" s="24"/>
      <c r="Q875" s="26"/>
      <c r="R875" s="24"/>
    </row>
    <row r="876" spans="5:18" x14ac:dyDescent="0.25">
      <c r="E876" s="24"/>
      <c r="F876" s="24"/>
      <c r="G876" s="24"/>
      <c r="H876" s="24"/>
      <c r="L876" s="21"/>
      <c r="N876" s="26"/>
      <c r="O876" s="24"/>
      <c r="P876" s="24"/>
      <c r="Q876" s="26"/>
      <c r="R876" s="24"/>
    </row>
    <row r="877" spans="5:18" x14ac:dyDescent="0.25">
      <c r="E877" s="24"/>
      <c r="F877" s="24"/>
      <c r="G877" s="24"/>
      <c r="H877" s="24"/>
      <c r="L877" s="21"/>
      <c r="N877" s="26"/>
      <c r="O877" s="24"/>
      <c r="P877" s="24"/>
      <c r="Q877" s="26"/>
      <c r="R877" s="24"/>
    </row>
    <row r="878" spans="5:18" x14ac:dyDescent="0.25">
      <c r="E878" s="24"/>
      <c r="F878" s="24"/>
      <c r="G878" s="24"/>
      <c r="H878" s="24"/>
      <c r="L878" s="21"/>
      <c r="N878" s="26"/>
      <c r="O878" s="24"/>
      <c r="P878" s="24"/>
      <c r="Q878" s="26"/>
      <c r="R878" s="24"/>
    </row>
    <row r="879" spans="5:18" x14ac:dyDescent="0.25">
      <c r="E879" s="24"/>
      <c r="F879" s="24"/>
      <c r="G879" s="24"/>
      <c r="H879" s="24"/>
      <c r="L879" s="21"/>
      <c r="N879" s="26"/>
      <c r="O879" s="24"/>
      <c r="P879" s="24"/>
      <c r="Q879" s="26"/>
      <c r="R879" s="24"/>
    </row>
    <row r="880" spans="5:18" x14ac:dyDescent="0.25">
      <c r="E880" s="24"/>
      <c r="F880" s="24"/>
      <c r="G880" s="24"/>
      <c r="H880" s="24"/>
      <c r="L880" s="21"/>
      <c r="N880" s="26"/>
      <c r="O880" s="24"/>
      <c r="P880" s="24"/>
      <c r="Q880" s="26"/>
      <c r="R880" s="24"/>
    </row>
    <row r="881" spans="5:18" x14ac:dyDescent="0.25">
      <c r="E881" s="24"/>
      <c r="F881" s="24"/>
      <c r="G881" s="24"/>
      <c r="H881" s="24"/>
      <c r="L881" s="21"/>
      <c r="N881" s="26"/>
      <c r="O881" s="24"/>
      <c r="P881" s="24"/>
      <c r="Q881" s="26"/>
      <c r="R881" s="24"/>
    </row>
    <row r="882" spans="5:18" x14ac:dyDescent="0.25">
      <c r="E882" s="24"/>
      <c r="F882" s="24"/>
      <c r="G882" s="24"/>
      <c r="H882" s="24"/>
      <c r="L882" s="21"/>
      <c r="N882" s="26"/>
      <c r="O882" s="24"/>
      <c r="P882" s="24"/>
      <c r="Q882" s="26"/>
      <c r="R882" s="24"/>
    </row>
    <row r="883" spans="5:18" x14ac:dyDescent="0.25">
      <c r="E883" s="24"/>
      <c r="F883" s="24"/>
      <c r="G883" s="24"/>
      <c r="H883" s="24"/>
      <c r="L883" s="21"/>
      <c r="N883" s="26"/>
      <c r="O883" s="24"/>
      <c r="P883" s="24"/>
      <c r="Q883" s="26"/>
      <c r="R883" s="24"/>
    </row>
    <row r="884" spans="5:18" x14ac:dyDescent="0.25">
      <c r="E884" s="24"/>
      <c r="F884" s="24"/>
      <c r="G884" s="24"/>
      <c r="H884" s="24"/>
      <c r="L884" s="21"/>
      <c r="N884" s="26"/>
      <c r="O884" s="24"/>
      <c r="P884" s="24"/>
      <c r="Q884" s="26"/>
      <c r="R884" s="24"/>
    </row>
    <row r="885" spans="5:18" x14ac:dyDescent="0.25">
      <c r="E885" s="24"/>
      <c r="F885" s="24"/>
      <c r="G885" s="24"/>
      <c r="H885" s="24"/>
      <c r="L885" s="21"/>
      <c r="N885" s="26"/>
      <c r="O885" s="24"/>
      <c r="P885" s="24"/>
      <c r="Q885" s="26"/>
      <c r="R885" s="24"/>
    </row>
    <row r="886" spans="5:18" x14ac:dyDescent="0.25">
      <c r="E886" s="24"/>
      <c r="F886" s="24"/>
      <c r="G886" s="24"/>
      <c r="H886" s="24"/>
      <c r="L886" s="21"/>
      <c r="N886" s="26"/>
      <c r="O886" s="24"/>
      <c r="P886" s="24"/>
      <c r="Q886" s="26"/>
      <c r="R886" s="24"/>
    </row>
    <row r="887" spans="5:18" x14ac:dyDescent="0.25">
      <c r="E887" s="24"/>
      <c r="F887" s="24"/>
      <c r="G887" s="24"/>
      <c r="H887" s="24"/>
      <c r="L887" s="21"/>
      <c r="N887" s="26"/>
      <c r="O887" s="24"/>
      <c r="P887" s="24"/>
      <c r="Q887" s="26"/>
      <c r="R887" s="24"/>
    </row>
    <row r="888" spans="5:18" x14ac:dyDescent="0.25">
      <c r="E888" s="24"/>
      <c r="F888" s="24"/>
      <c r="G888" s="24"/>
      <c r="H888" s="24"/>
      <c r="L888" s="21"/>
      <c r="N888" s="26"/>
      <c r="O888" s="24"/>
      <c r="P888" s="24"/>
      <c r="Q888" s="26"/>
      <c r="R888" s="24"/>
    </row>
    <row r="889" spans="5:18" x14ac:dyDescent="0.25">
      <c r="E889" s="24"/>
      <c r="F889" s="24"/>
      <c r="G889" s="24"/>
      <c r="H889" s="24"/>
      <c r="L889" s="21"/>
      <c r="N889" s="26"/>
      <c r="O889" s="24"/>
      <c r="P889" s="24"/>
      <c r="Q889" s="26"/>
      <c r="R889" s="24"/>
    </row>
    <row r="890" spans="5:18" x14ac:dyDescent="0.25">
      <c r="E890" s="24"/>
      <c r="F890" s="24"/>
      <c r="G890" s="24"/>
      <c r="H890" s="24"/>
      <c r="L890" s="21"/>
      <c r="N890" s="26"/>
      <c r="O890" s="24"/>
      <c r="P890" s="24"/>
      <c r="Q890" s="26"/>
      <c r="R890" s="24"/>
    </row>
    <row r="891" spans="5:18" x14ac:dyDescent="0.25">
      <c r="E891" s="24"/>
      <c r="F891" s="24"/>
      <c r="G891" s="24"/>
      <c r="H891" s="24"/>
      <c r="L891" s="21"/>
      <c r="N891" s="26"/>
      <c r="O891" s="24"/>
      <c r="P891" s="24"/>
      <c r="Q891" s="26"/>
      <c r="R891" s="24"/>
    </row>
    <row r="892" spans="5:18" x14ac:dyDescent="0.25">
      <c r="E892" s="24"/>
      <c r="F892" s="24"/>
      <c r="G892" s="24"/>
      <c r="H892" s="24"/>
      <c r="L892" s="21"/>
      <c r="N892" s="26"/>
      <c r="O892" s="24"/>
      <c r="P892" s="24"/>
      <c r="Q892" s="26"/>
      <c r="R892" s="24"/>
    </row>
    <row r="893" spans="5:18" x14ac:dyDescent="0.25">
      <c r="E893" s="24"/>
      <c r="F893" s="24"/>
      <c r="G893" s="24"/>
      <c r="H893" s="24"/>
      <c r="L893" s="21"/>
      <c r="N893" s="26"/>
      <c r="O893" s="24"/>
      <c r="P893" s="24"/>
      <c r="Q893" s="26"/>
      <c r="R893" s="24"/>
    </row>
    <row r="894" spans="5:18" x14ac:dyDescent="0.25">
      <c r="E894" s="24"/>
      <c r="F894" s="24"/>
      <c r="G894" s="24"/>
      <c r="H894" s="24"/>
      <c r="L894" s="21"/>
      <c r="N894" s="26"/>
      <c r="O894" s="24"/>
      <c r="P894" s="24"/>
      <c r="Q894" s="26"/>
      <c r="R894" s="24"/>
    </row>
    <row r="895" spans="5:18" x14ac:dyDescent="0.25">
      <c r="E895" s="24"/>
      <c r="F895" s="24"/>
      <c r="G895" s="24"/>
      <c r="H895" s="24"/>
      <c r="L895" s="21"/>
      <c r="N895" s="26"/>
      <c r="O895" s="24"/>
      <c r="P895" s="24"/>
      <c r="Q895" s="26"/>
      <c r="R895" s="24"/>
    </row>
    <row r="896" spans="5:18" x14ac:dyDescent="0.25">
      <c r="E896" s="24"/>
      <c r="F896" s="24"/>
      <c r="G896" s="24"/>
      <c r="H896" s="24"/>
      <c r="L896" s="21"/>
      <c r="N896" s="26"/>
      <c r="O896" s="24"/>
      <c r="P896" s="24"/>
      <c r="Q896" s="26"/>
      <c r="R896" s="24"/>
    </row>
    <row r="897" spans="5:18" x14ac:dyDescent="0.25">
      <c r="E897" s="24"/>
      <c r="F897" s="24"/>
      <c r="G897" s="24"/>
      <c r="H897" s="24"/>
      <c r="L897" s="21"/>
      <c r="N897" s="26"/>
      <c r="O897" s="24"/>
      <c r="P897" s="24"/>
      <c r="Q897" s="26"/>
      <c r="R897" s="24"/>
    </row>
    <row r="898" spans="5:18" x14ac:dyDescent="0.25">
      <c r="E898" s="24"/>
      <c r="F898" s="24"/>
      <c r="G898" s="24"/>
      <c r="H898" s="24"/>
      <c r="L898" s="21"/>
      <c r="N898" s="26"/>
      <c r="O898" s="24"/>
      <c r="P898" s="24"/>
      <c r="Q898" s="26"/>
      <c r="R898" s="24"/>
    </row>
    <row r="899" spans="5:18" x14ac:dyDescent="0.25">
      <c r="E899" s="24"/>
      <c r="F899" s="24"/>
      <c r="G899" s="24"/>
      <c r="H899" s="24"/>
      <c r="L899" s="21"/>
      <c r="N899" s="26"/>
      <c r="O899" s="24"/>
      <c r="P899" s="24"/>
      <c r="Q899" s="26"/>
      <c r="R899" s="24"/>
    </row>
    <row r="900" spans="5:18" x14ac:dyDescent="0.25">
      <c r="E900" s="24"/>
      <c r="F900" s="24"/>
      <c r="G900" s="24"/>
      <c r="H900" s="24"/>
      <c r="L900" s="21"/>
      <c r="N900" s="26"/>
      <c r="O900" s="24"/>
      <c r="P900" s="24"/>
      <c r="Q900" s="26"/>
      <c r="R900" s="24"/>
    </row>
    <row r="901" spans="5:18" x14ac:dyDescent="0.25">
      <c r="E901" s="24"/>
      <c r="F901" s="24"/>
      <c r="G901" s="24"/>
      <c r="H901" s="24"/>
      <c r="L901" s="21"/>
      <c r="N901" s="26"/>
      <c r="O901" s="24"/>
      <c r="P901" s="24"/>
      <c r="Q901" s="26"/>
      <c r="R901" s="24"/>
    </row>
    <row r="902" spans="5:18" x14ac:dyDescent="0.25">
      <c r="E902" s="24"/>
      <c r="F902" s="24"/>
      <c r="G902" s="24"/>
      <c r="H902" s="24"/>
      <c r="L902" s="21"/>
      <c r="N902" s="26"/>
      <c r="O902" s="24"/>
      <c r="P902" s="24"/>
      <c r="Q902" s="26"/>
      <c r="R902" s="24"/>
    </row>
    <row r="903" spans="5:18" x14ac:dyDescent="0.25">
      <c r="E903" s="24"/>
      <c r="F903" s="24"/>
      <c r="G903" s="24"/>
      <c r="H903" s="24"/>
      <c r="L903" s="21"/>
      <c r="N903" s="26"/>
      <c r="O903" s="24"/>
      <c r="P903" s="24"/>
      <c r="Q903" s="26"/>
      <c r="R903" s="24"/>
    </row>
    <row r="904" spans="5:18" x14ac:dyDescent="0.25">
      <c r="E904" s="24"/>
      <c r="F904" s="24"/>
      <c r="G904" s="24"/>
      <c r="H904" s="24"/>
      <c r="L904" s="21"/>
      <c r="N904" s="26"/>
      <c r="O904" s="24"/>
      <c r="P904" s="24"/>
      <c r="Q904" s="26"/>
      <c r="R904" s="24"/>
    </row>
    <row r="905" spans="5:18" x14ac:dyDescent="0.25">
      <c r="E905" s="24"/>
      <c r="F905" s="24"/>
      <c r="G905" s="24"/>
      <c r="H905" s="24"/>
      <c r="L905" s="21"/>
      <c r="N905" s="26"/>
      <c r="O905" s="24"/>
      <c r="P905" s="24"/>
      <c r="Q905" s="26"/>
      <c r="R905" s="24"/>
    </row>
    <row r="906" spans="5:18" x14ac:dyDescent="0.25">
      <c r="E906" s="24"/>
      <c r="F906" s="24"/>
      <c r="G906" s="24"/>
      <c r="H906" s="24"/>
      <c r="L906" s="21"/>
      <c r="N906" s="26"/>
      <c r="O906" s="24"/>
      <c r="P906" s="24"/>
      <c r="Q906" s="26"/>
      <c r="R906" s="24"/>
    </row>
    <row r="907" spans="5:18" x14ac:dyDescent="0.25">
      <c r="E907" s="24"/>
      <c r="F907" s="24"/>
      <c r="G907" s="24"/>
      <c r="H907" s="24"/>
      <c r="L907" s="21"/>
      <c r="N907" s="26"/>
      <c r="O907" s="24"/>
      <c r="P907" s="24"/>
      <c r="Q907" s="26"/>
      <c r="R907" s="24"/>
    </row>
    <row r="908" spans="5:18" x14ac:dyDescent="0.25">
      <c r="E908" s="24"/>
      <c r="F908" s="24"/>
      <c r="G908" s="24"/>
      <c r="H908" s="24"/>
      <c r="L908" s="21"/>
      <c r="N908" s="26"/>
      <c r="O908" s="24"/>
      <c r="P908" s="24"/>
      <c r="Q908" s="26"/>
      <c r="R908" s="24"/>
    </row>
    <row r="909" spans="5:18" x14ac:dyDescent="0.25">
      <c r="E909" s="24"/>
      <c r="F909" s="24"/>
      <c r="G909" s="24"/>
      <c r="H909" s="24"/>
      <c r="L909" s="21"/>
      <c r="N909" s="26"/>
      <c r="O909" s="24"/>
      <c r="P909" s="24"/>
      <c r="Q909" s="26"/>
      <c r="R909" s="24"/>
    </row>
    <row r="910" spans="5:18" x14ac:dyDescent="0.25">
      <c r="E910" s="24"/>
      <c r="F910" s="24"/>
      <c r="G910" s="24"/>
      <c r="H910" s="24"/>
      <c r="L910" s="21"/>
      <c r="N910" s="26"/>
      <c r="O910" s="24"/>
      <c r="P910" s="24"/>
      <c r="Q910" s="26"/>
      <c r="R910" s="24"/>
    </row>
    <row r="911" spans="5:18" x14ac:dyDescent="0.25">
      <c r="E911" s="24"/>
      <c r="F911" s="24"/>
      <c r="G911" s="24"/>
      <c r="H911" s="24"/>
      <c r="L911" s="21"/>
      <c r="N911" s="26"/>
      <c r="O911" s="24"/>
      <c r="P911" s="24"/>
      <c r="Q911" s="26"/>
      <c r="R911" s="24"/>
    </row>
    <row r="912" spans="5:18" x14ac:dyDescent="0.25">
      <c r="E912" s="24"/>
      <c r="F912" s="24"/>
      <c r="G912" s="24"/>
      <c r="H912" s="24"/>
      <c r="L912" s="21"/>
      <c r="N912" s="26"/>
      <c r="O912" s="24"/>
      <c r="P912" s="24"/>
      <c r="Q912" s="26"/>
      <c r="R912" s="24"/>
    </row>
    <row r="913" spans="5:18" x14ac:dyDescent="0.25">
      <c r="E913" s="24"/>
      <c r="F913" s="24"/>
      <c r="G913" s="24"/>
      <c r="H913" s="24"/>
      <c r="L913" s="21"/>
      <c r="N913" s="26"/>
      <c r="O913" s="24"/>
      <c r="P913" s="24"/>
      <c r="Q913" s="26"/>
      <c r="R913" s="24"/>
    </row>
    <row r="914" spans="5:18" x14ac:dyDescent="0.25">
      <c r="E914" s="24"/>
      <c r="F914" s="24"/>
      <c r="G914" s="24"/>
      <c r="H914" s="24"/>
      <c r="L914" s="21"/>
      <c r="N914" s="26"/>
      <c r="O914" s="24"/>
      <c r="P914" s="24"/>
      <c r="Q914" s="26"/>
      <c r="R914" s="24"/>
    </row>
    <row r="915" spans="5:18" x14ac:dyDescent="0.25">
      <c r="E915" s="24"/>
      <c r="F915" s="24"/>
      <c r="G915" s="24"/>
      <c r="H915" s="24"/>
      <c r="L915" s="21"/>
      <c r="N915" s="26"/>
      <c r="O915" s="24"/>
      <c r="P915" s="24"/>
      <c r="Q915" s="26"/>
      <c r="R915" s="24"/>
    </row>
    <row r="916" spans="5:18" x14ac:dyDescent="0.25">
      <c r="E916" s="24"/>
      <c r="F916" s="24"/>
      <c r="G916" s="24"/>
      <c r="H916" s="24"/>
      <c r="L916" s="21"/>
      <c r="N916" s="26"/>
      <c r="O916" s="24"/>
      <c r="P916" s="24"/>
      <c r="Q916" s="26"/>
      <c r="R916" s="24"/>
    </row>
    <row r="917" spans="5:18" x14ac:dyDescent="0.25">
      <c r="E917" s="24"/>
      <c r="F917" s="24"/>
      <c r="G917" s="24"/>
      <c r="H917" s="24"/>
      <c r="L917" s="21"/>
      <c r="N917" s="26"/>
      <c r="O917" s="24"/>
      <c r="P917" s="24"/>
      <c r="Q917" s="26"/>
      <c r="R917" s="24"/>
    </row>
    <row r="918" spans="5:18" x14ac:dyDescent="0.25">
      <c r="E918" s="24"/>
      <c r="F918" s="24"/>
      <c r="G918" s="24"/>
      <c r="H918" s="24"/>
      <c r="L918" s="21"/>
      <c r="N918" s="26"/>
      <c r="O918" s="24"/>
      <c r="P918" s="24"/>
      <c r="Q918" s="26"/>
      <c r="R918" s="24"/>
    </row>
    <row r="919" spans="5:18" x14ac:dyDescent="0.25">
      <c r="E919" s="24"/>
      <c r="F919" s="24"/>
      <c r="G919" s="24"/>
      <c r="H919" s="24"/>
      <c r="L919" s="21"/>
      <c r="N919" s="26"/>
      <c r="O919" s="24"/>
      <c r="P919" s="24"/>
      <c r="Q919" s="26"/>
      <c r="R919" s="24"/>
    </row>
    <row r="920" spans="5:18" x14ac:dyDescent="0.25">
      <c r="E920" s="24"/>
      <c r="F920" s="24"/>
      <c r="G920" s="24"/>
      <c r="H920" s="24"/>
      <c r="L920" s="21"/>
      <c r="N920" s="26"/>
      <c r="O920" s="24"/>
      <c r="P920" s="24"/>
      <c r="Q920" s="26"/>
      <c r="R920" s="24"/>
    </row>
    <row r="921" spans="5:18" x14ac:dyDescent="0.25">
      <c r="E921" s="24"/>
      <c r="F921" s="24"/>
      <c r="G921" s="24"/>
      <c r="H921" s="24"/>
      <c r="L921" s="21"/>
      <c r="N921" s="26"/>
      <c r="O921" s="24"/>
      <c r="P921" s="24"/>
      <c r="Q921" s="26"/>
      <c r="R921" s="24"/>
    </row>
    <row r="922" spans="5:18" x14ac:dyDescent="0.25">
      <c r="E922" s="24"/>
      <c r="F922" s="24"/>
      <c r="G922" s="24"/>
      <c r="H922" s="24"/>
      <c r="L922" s="21"/>
      <c r="N922" s="26"/>
      <c r="O922" s="24"/>
      <c r="P922" s="24"/>
      <c r="Q922" s="26"/>
      <c r="R922" s="24"/>
    </row>
    <row r="923" spans="5:18" x14ac:dyDescent="0.25">
      <c r="E923" s="24"/>
      <c r="F923" s="24"/>
      <c r="G923" s="24"/>
      <c r="H923" s="24"/>
      <c r="L923" s="21"/>
      <c r="N923" s="26"/>
      <c r="O923" s="24"/>
      <c r="P923" s="24"/>
      <c r="Q923" s="26"/>
      <c r="R923" s="24"/>
    </row>
    <row r="924" spans="5:18" x14ac:dyDescent="0.25">
      <c r="E924" s="24"/>
      <c r="F924" s="24"/>
      <c r="G924" s="24"/>
      <c r="H924" s="24"/>
      <c r="L924" s="21"/>
      <c r="N924" s="26"/>
      <c r="O924" s="24"/>
      <c r="P924" s="24"/>
      <c r="Q924" s="26"/>
      <c r="R924" s="24"/>
    </row>
    <row r="925" spans="5:18" x14ac:dyDescent="0.25">
      <c r="E925" s="24"/>
      <c r="F925" s="24"/>
      <c r="G925" s="24"/>
      <c r="H925" s="24"/>
      <c r="L925" s="21"/>
      <c r="N925" s="26"/>
      <c r="O925" s="24"/>
      <c r="P925" s="24"/>
      <c r="Q925" s="26"/>
      <c r="R925" s="24"/>
    </row>
    <row r="926" spans="5:18" x14ac:dyDescent="0.25">
      <c r="E926" s="24"/>
      <c r="F926" s="24"/>
      <c r="G926" s="24"/>
      <c r="H926" s="24"/>
      <c r="L926" s="21"/>
      <c r="N926" s="26"/>
      <c r="O926" s="24"/>
      <c r="P926" s="24"/>
      <c r="Q926" s="26"/>
      <c r="R926" s="24"/>
    </row>
    <row r="927" spans="5:18" x14ac:dyDescent="0.25">
      <c r="E927" s="24"/>
      <c r="F927" s="24"/>
      <c r="G927" s="24"/>
      <c r="H927" s="24"/>
      <c r="L927" s="21"/>
      <c r="N927" s="26"/>
      <c r="O927" s="24"/>
      <c r="P927" s="24"/>
      <c r="Q927" s="26"/>
      <c r="R927" s="24"/>
    </row>
    <row r="928" spans="5:18" x14ac:dyDescent="0.25">
      <c r="E928" s="24"/>
      <c r="F928" s="24"/>
      <c r="G928" s="24"/>
      <c r="H928" s="24"/>
      <c r="L928" s="21"/>
      <c r="N928" s="26"/>
      <c r="O928" s="24"/>
      <c r="P928" s="24"/>
      <c r="Q928" s="26"/>
      <c r="R928" s="24"/>
    </row>
    <row r="929" spans="5:18" x14ac:dyDescent="0.25">
      <c r="E929" s="24"/>
      <c r="F929" s="24"/>
      <c r="G929" s="24"/>
      <c r="H929" s="24"/>
      <c r="L929" s="21"/>
      <c r="N929" s="26"/>
      <c r="O929" s="24"/>
      <c r="P929" s="24"/>
      <c r="Q929" s="26"/>
      <c r="R929" s="24"/>
    </row>
    <row r="930" spans="5:18" x14ac:dyDescent="0.25">
      <c r="E930" s="24"/>
      <c r="F930" s="24"/>
      <c r="G930" s="24"/>
      <c r="H930" s="24"/>
      <c r="L930" s="21"/>
      <c r="N930" s="26"/>
      <c r="O930" s="24"/>
      <c r="P930" s="24"/>
      <c r="Q930" s="26"/>
      <c r="R930" s="24"/>
    </row>
    <row r="931" spans="5:18" x14ac:dyDescent="0.25">
      <c r="E931" s="24"/>
      <c r="F931" s="24"/>
      <c r="G931" s="24"/>
      <c r="H931" s="24"/>
      <c r="L931" s="21"/>
      <c r="N931" s="26"/>
      <c r="O931" s="24"/>
      <c r="P931" s="24"/>
      <c r="Q931" s="26"/>
      <c r="R931" s="24"/>
    </row>
    <row r="932" spans="5:18" x14ac:dyDescent="0.25">
      <c r="E932" s="24"/>
      <c r="F932" s="24"/>
      <c r="G932" s="24"/>
      <c r="H932" s="24"/>
      <c r="L932" s="21"/>
      <c r="N932" s="26"/>
      <c r="O932" s="24"/>
      <c r="P932" s="24"/>
      <c r="Q932" s="26"/>
      <c r="R932" s="24"/>
    </row>
    <row r="933" spans="5:18" x14ac:dyDescent="0.25">
      <c r="E933" s="24"/>
      <c r="F933" s="24"/>
      <c r="G933" s="24"/>
      <c r="H933" s="24"/>
      <c r="L933" s="21"/>
      <c r="N933" s="26"/>
      <c r="O933" s="24"/>
      <c r="P933" s="24"/>
      <c r="Q933" s="26"/>
      <c r="R933" s="24"/>
    </row>
    <row r="934" spans="5:18" x14ac:dyDescent="0.25">
      <c r="E934" s="24"/>
      <c r="F934" s="24"/>
      <c r="G934" s="24"/>
      <c r="H934" s="24"/>
      <c r="L934" s="21"/>
      <c r="N934" s="26"/>
      <c r="O934" s="24"/>
      <c r="P934" s="24"/>
      <c r="Q934" s="26"/>
      <c r="R934" s="24"/>
    </row>
    <row r="935" spans="5:18" x14ac:dyDescent="0.25">
      <c r="E935" s="24"/>
      <c r="F935" s="24"/>
      <c r="G935" s="24"/>
      <c r="H935" s="24"/>
      <c r="L935" s="21"/>
      <c r="N935" s="26"/>
      <c r="O935" s="24"/>
      <c r="P935" s="24"/>
      <c r="Q935" s="26"/>
      <c r="R935" s="24"/>
    </row>
    <row r="936" spans="5:18" x14ac:dyDescent="0.25">
      <c r="E936" s="24"/>
      <c r="F936" s="24"/>
      <c r="G936" s="24"/>
      <c r="H936" s="24"/>
      <c r="L936" s="21"/>
      <c r="N936" s="26"/>
      <c r="O936" s="24"/>
      <c r="P936" s="24"/>
      <c r="Q936" s="26"/>
      <c r="R936" s="24"/>
    </row>
    <row r="937" spans="5:18" x14ac:dyDescent="0.25">
      <c r="E937" s="24"/>
      <c r="F937" s="24"/>
      <c r="G937" s="24"/>
      <c r="H937" s="24"/>
      <c r="L937" s="21"/>
      <c r="N937" s="26"/>
      <c r="O937" s="24"/>
      <c r="P937" s="24"/>
      <c r="Q937" s="26"/>
      <c r="R937" s="24"/>
    </row>
    <row r="938" spans="5:18" x14ac:dyDescent="0.25">
      <c r="E938" s="24"/>
      <c r="F938" s="24"/>
      <c r="G938" s="24"/>
      <c r="H938" s="24"/>
      <c r="L938" s="21"/>
      <c r="N938" s="26"/>
      <c r="O938" s="24"/>
      <c r="P938" s="24"/>
      <c r="Q938" s="26"/>
      <c r="R938" s="24"/>
    </row>
    <row r="939" spans="5:18" x14ac:dyDescent="0.25">
      <c r="E939" s="24"/>
      <c r="F939" s="24"/>
      <c r="G939" s="24"/>
      <c r="H939" s="24"/>
      <c r="L939" s="21"/>
      <c r="N939" s="26"/>
      <c r="O939" s="24"/>
      <c r="P939" s="24"/>
      <c r="Q939" s="26"/>
      <c r="R939" s="24"/>
    </row>
    <row r="940" spans="5:18" x14ac:dyDescent="0.25">
      <c r="E940" s="24"/>
      <c r="F940" s="24"/>
      <c r="G940" s="24"/>
      <c r="H940" s="24"/>
      <c r="L940" s="21"/>
      <c r="N940" s="26"/>
      <c r="O940" s="24"/>
      <c r="P940" s="24"/>
      <c r="Q940" s="26"/>
      <c r="R940" s="24"/>
    </row>
    <row r="941" spans="5:18" x14ac:dyDescent="0.25">
      <c r="E941" s="24"/>
      <c r="F941" s="24"/>
      <c r="G941" s="24"/>
      <c r="H941" s="24"/>
      <c r="L941" s="21"/>
      <c r="N941" s="26"/>
      <c r="O941" s="24"/>
      <c r="P941" s="24"/>
      <c r="Q941" s="26"/>
      <c r="R941" s="24"/>
    </row>
    <row r="942" spans="5:18" x14ac:dyDescent="0.25">
      <c r="E942" s="24"/>
      <c r="F942" s="24"/>
      <c r="G942" s="24"/>
      <c r="H942" s="24"/>
      <c r="L942" s="21"/>
      <c r="N942" s="26"/>
      <c r="O942" s="24"/>
      <c r="P942" s="24"/>
      <c r="Q942" s="26"/>
      <c r="R942" s="24"/>
    </row>
    <row r="943" spans="5:18" x14ac:dyDescent="0.25">
      <c r="E943" s="24"/>
      <c r="F943" s="24"/>
      <c r="G943" s="24"/>
      <c r="H943" s="24"/>
      <c r="L943" s="21"/>
      <c r="N943" s="26"/>
      <c r="O943" s="24"/>
      <c r="P943" s="24"/>
      <c r="Q943" s="26"/>
      <c r="R943" s="24"/>
    </row>
    <row r="944" spans="5:18" x14ac:dyDescent="0.25">
      <c r="E944" s="24"/>
      <c r="F944" s="24"/>
      <c r="G944" s="24"/>
      <c r="H944" s="24"/>
      <c r="L944" s="21"/>
      <c r="N944" s="26"/>
      <c r="O944" s="24"/>
      <c r="P944" s="24"/>
      <c r="Q944" s="26"/>
      <c r="R944" s="24"/>
    </row>
    <row r="945" spans="5:18" x14ac:dyDescent="0.25">
      <c r="E945" s="24"/>
      <c r="F945" s="24"/>
      <c r="G945" s="24"/>
      <c r="H945" s="24"/>
      <c r="L945" s="21"/>
      <c r="N945" s="26"/>
      <c r="O945" s="24"/>
      <c r="P945" s="24"/>
      <c r="Q945" s="26"/>
      <c r="R945" s="24"/>
    </row>
    <row r="946" spans="5:18" x14ac:dyDescent="0.25">
      <c r="E946" s="24"/>
      <c r="F946" s="24"/>
      <c r="G946" s="24"/>
      <c r="H946" s="24"/>
      <c r="L946" s="21"/>
      <c r="N946" s="26"/>
      <c r="O946" s="24"/>
      <c r="P946" s="24"/>
      <c r="Q946" s="26"/>
      <c r="R946" s="24"/>
    </row>
    <row r="947" spans="5:18" x14ac:dyDescent="0.25">
      <c r="E947" s="24"/>
      <c r="F947" s="24"/>
      <c r="G947" s="24"/>
      <c r="H947" s="24"/>
      <c r="L947" s="21"/>
      <c r="N947" s="26"/>
      <c r="O947" s="24"/>
      <c r="P947" s="24"/>
      <c r="Q947" s="26"/>
      <c r="R947" s="24"/>
    </row>
    <row r="948" spans="5:18" x14ac:dyDescent="0.25">
      <c r="E948" s="24"/>
      <c r="F948" s="24"/>
      <c r="G948" s="24"/>
      <c r="H948" s="24"/>
      <c r="L948" s="21"/>
      <c r="N948" s="26"/>
      <c r="O948" s="24"/>
      <c r="P948" s="24"/>
      <c r="Q948" s="26"/>
      <c r="R948" s="24"/>
    </row>
    <row r="949" spans="5:18" x14ac:dyDescent="0.25">
      <c r="E949" s="24"/>
      <c r="F949" s="24"/>
      <c r="G949" s="24"/>
      <c r="H949" s="24"/>
      <c r="L949" s="21"/>
      <c r="N949" s="26"/>
      <c r="O949" s="24"/>
      <c r="P949" s="24"/>
      <c r="Q949" s="26"/>
      <c r="R949" s="24"/>
    </row>
    <row r="950" spans="5:18" x14ac:dyDescent="0.25">
      <c r="E950" s="24"/>
      <c r="F950" s="24"/>
      <c r="G950" s="24"/>
      <c r="H950" s="24"/>
      <c r="L950" s="21"/>
      <c r="N950" s="26"/>
      <c r="O950" s="24"/>
      <c r="P950" s="24"/>
      <c r="Q950" s="26"/>
      <c r="R950" s="24"/>
    </row>
    <row r="951" spans="5:18" x14ac:dyDescent="0.25">
      <c r="E951" s="24"/>
      <c r="F951" s="24"/>
      <c r="G951" s="24"/>
      <c r="H951" s="24"/>
      <c r="L951" s="21"/>
      <c r="N951" s="26"/>
      <c r="O951" s="24"/>
      <c r="P951" s="24"/>
      <c r="Q951" s="26"/>
      <c r="R951" s="24"/>
    </row>
    <row r="952" spans="5:18" x14ac:dyDescent="0.25">
      <c r="E952" s="24"/>
      <c r="F952" s="24"/>
      <c r="G952" s="24"/>
      <c r="H952" s="24"/>
      <c r="L952" s="21"/>
      <c r="N952" s="26"/>
      <c r="O952" s="24"/>
      <c r="P952" s="24"/>
      <c r="Q952" s="26"/>
      <c r="R952" s="24"/>
    </row>
    <row r="953" spans="5:18" x14ac:dyDescent="0.25">
      <c r="E953" s="24"/>
      <c r="F953" s="24"/>
      <c r="G953" s="24"/>
      <c r="H953" s="24"/>
      <c r="L953" s="21"/>
      <c r="N953" s="26"/>
      <c r="O953" s="24"/>
      <c r="P953" s="24"/>
      <c r="Q953" s="26"/>
      <c r="R953" s="24"/>
    </row>
    <row r="954" spans="5:18" x14ac:dyDescent="0.25">
      <c r="E954" s="24"/>
      <c r="F954" s="24"/>
      <c r="G954" s="24"/>
      <c r="H954" s="24"/>
      <c r="L954" s="21"/>
      <c r="N954" s="26"/>
      <c r="O954" s="24"/>
      <c r="P954" s="24"/>
      <c r="Q954" s="26"/>
      <c r="R954" s="24"/>
    </row>
    <row r="955" spans="5:18" x14ac:dyDescent="0.25">
      <c r="E955" s="24"/>
      <c r="F955" s="24"/>
      <c r="G955" s="24"/>
      <c r="H955" s="24"/>
      <c r="L955" s="21"/>
      <c r="N955" s="26"/>
      <c r="O955" s="24"/>
      <c r="P955" s="24"/>
      <c r="Q955" s="26"/>
      <c r="R955" s="24"/>
    </row>
    <row r="956" spans="5:18" x14ac:dyDescent="0.25">
      <c r="E956" s="24"/>
      <c r="F956" s="24"/>
      <c r="G956" s="24"/>
      <c r="H956" s="24"/>
      <c r="L956" s="21"/>
      <c r="N956" s="26"/>
      <c r="O956" s="24"/>
      <c r="P956" s="24"/>
      <c r="Q956" s="26"/>
      <c r="R956" s="24"/>
    </row>
    <row r="957" spans="5:18" x14ac:dyDescent="0.25">
      <c r="E957" s="24"/>
      <c r="F957" s="24"/>
      <c r="G957" s="24"/>
      <c r="H957" s="24"/>
      <c r="L957" s="21"/>
      <c r="N957" s="26"/>
      <c r="O957" s="24"/>
      <c r="P957" s="24"/>
      <c r="Q957" s="26"/>
      <c r="R957" s="24"/>
    </row>
    <row r="958" spans="5:18" x14ac:dyDescent="0.25">
      <c r="E958" s="24"/>
      <c r="F958" s="24"/>
      <c r="G958" s="24"/>
      <c r="H958" s="24"/>
      <c r="L958" s="21"/>
      <c r="N958" s="26"/>
      <c r="O958" s="24"/>
      <c r="P958" s="24"/>
      <c r="Q958" s="26"/>
      <c r="R958" s="24"/>
    </row>
    <row r="959" spans="5:18" x14ac:dyDescent="0.25">
      <c r="E959" s="24"/>
      <c r="F959" s="24"/>
      <c r="G959" s="24"/>
      <c r="H959" s="24"/>
      <c r="L959" s="21"/>
      <c r="N959" s="26"/>
      <c r="O959" s="24"/>
      <c r="P959" s="24"/>
      <c r="Q959" s="26"/>
      <c r="R959" s="24"/>
    </row>
    <row r="960" spans="5:18" x14ac:dyDescent="0.25">
      <c r="E960" s="24"/>
      <c r="F960" s="24"/>
      <c r="G960" s="24"/>
      <c r="H960" s="24"/>
      <c r="L960" s="21"/>
      <c r="N960" s="26"/>
      <c r="O960" s="24"/>
      <c r="P960" s="24"/>
      <c r="Q960" s="26"/>
      <c r="R960" s="24"/>
    </row>
    <row r="961" spans="5:18" x14ac:dyDescent="0.25">
      <c r="E961" s="24"/>
      <c r="F961" s="24"/>
      <c r="G961" s="24"/>
      <c r="H961" s="24"/>
      <c r="L961" s="21"/>
      <c r="N961" s="26"/>
      <c r="O961" s="24"/>
      <c r="P961" s="24"/>
      <c r="Q961" s="26"/>
      <c r="R961" s="24"/>
    </row>
    <row r="962" spans="5:18" x14ac:dyDescent="0.25">
      <c r="E962" s="24"/>
      <c r="F962" s="24"/>
      <c r="G962" s="24"/>
      <c r="H962" s="24"/>
      <c r="L962" s="21"/>
      <c r="N962" s="26"/>
      <c r="O962" s="24"/>
      <c r="P962" s="24"/>
      <c r="Q962" s="26"/>
      <c r="R962" s="24"/>
    </row>
    <row r="963" spans="5:18" x14ac:dyDescent="0.25">
      <c r="E963" s="24"/>
      <c r="F963" s="24"/>
      <c r="G963" s="24"/>
      <c r="H963" s="24"/>
      <c r="L963" s="21"/>
      <c r="N963" s="26"/>
      <c r="O963" s="24"/>
      <c r="P963" s="24"/>
      <c r="Q963" s="26"/>
      <c r="R963" s="24"/>
    </row>
    <row r="964" spans="5:18" x14ac:dyDescent="0.25">
      <c r="E964" s="24"/>
      <c r="F964" s="24"/>
      <c r="G964" s="24"/>
      <c r="H964" s="24"/>
      <c r="L964" s="21"/>
      <c r="N964" s="26"/>
      <c r="O964" s="24"/>
      <c r="P964" s="24"/>
      <c r="Q964" s="26"/>
      <c r="R964" s="24"/>
    </row>
    <row r="965" spans="5:18" x14ac:dyDescent="0.25">
      <c r="E965" s="24"/>
      <c r="F965" s="24"/>
      <c r="G965" s="24"/>
      <c r="H965" s="24"/>
      <c r="L965" s="21"/>
      <c r="N965" s="26"/>
      <c r="O965" s="24"/>
      <c r="P965" s="24"/>
      <c r="Q965" s="26"/>
      <c r="R965" s="24"/>
    </row>
    <row r="966" spans="5:18" x14ac:dyDescent="0.25">
      <c r="E966" s="24"/>
      <c r="F966" s="24"/>
      <c r="G966" s="24"/>
      <c r="H966" s="24"/>
      <c r="L966" s="21"/>
      <c r="N966" s="26"/>
      <c r="O966" s="24"/>
      <c r="P966" s="24"/>
      <c r="Q966" s="26"/>
      <c r="R966" s="24"/>
    </row>
    <row r="967" spans="5:18" x14ac:dyDescent="0.25">
      <c r="E967" s="24"/>
      <c r="F967" s="24"/>
      <c r="G967" s="24"/>
      <c r="H967" s="24"/>
      <c r="L967" s="21"/>
      <c r="N967" s="26"/>
      <c r="O967" s="24"/>
      <c r="P967" s="24"/>
      <c r="Q967" s="26"/>
      <c r="R967" s="24"/>
    </row>
    <row r="968" spans="5:18" x14ac:dyDescent="0.25">
      <c r="E968" s="24"/>
      <c r="F968" s="24"/>
      <c r="G968" s="24"/>
      <c r="H968" s="24"/>
      <c r="L968" s="21"/>
      <c r="N968" s="26"/>
      <c r="O968" s="24"/>
      <c r="P968" s="24"/>
      <c r="Q968" s="26"/>
      <c r="R968" s="24"/>
    </row>
    <row r="969" spans="5:18" x14ac:dyDescent="0.25">
      <c r="E969" s="24"/>
      <c r="F969" s="24"/>
      <c r="G969" s="24"/>
      <c r="H969" s="24"/>
      <c r="L969" s="21"/>
      <c r="N969" s="26"/>
      <c r="O969" s="24"/>
      <c r="P969" s="24"/>
      <c r="Q969" s="26"/>
      <c r="R969" s="24"/>
    </row>
    <row r="970" spans="5:18" x14ac:dyDescent="0.25">
      <c r="E970" s="24"/>
      <c r="F970" s="24"/>
      <c r="G970" s="24"/>
      <c r="H970" s="24"/>
      <c r="L970" s="21"/>
      <c r="N970" s="26"/>
      <c r="O970" s="24"/>
      <c r="P970" s="24"/>
      <c r="Q970" s="26"/>
      <c r="R970" s="24"/>
    </row>
    <row r="971" spans="5:18" x14ac:dyDescent="0.25">
      <c r="E971" s="24"/>
      <c r="F971" s="24"/>
      <c r="G971" s="24"/>
      <c r="H971" s="24"/>
      <c r="L971" s="21"/>
      <c r="N971" s="26"/>
      <c r="O971" s="24"/>
      <c r="P971" s="24"/>
      <c r="Q971" s="26"/>
      <c r="R971" s="24"/>
    </row>
    <row r="972" spans="5:18" x14ac:dyDescent="0.25">
      <c r="E972" s="24"/>
      <c r="F972" s="24"/>
      <c r="G972" s="24"/>
      <c r="H972" s="24"/>
      <c r="L972" s="21"/>
      <c r="N972" s="26"/>
      <c r="O972" s="24"/>
      <c r="P972" s="24"/>
      <c r="Q972" s="26"/>
      <c r="R972" s="24"/>
    </row>
    <row r="973" spans="5:18" x14ac:dyDescent="0.25">
      <c r="E973" s="24"/>
      <c r="F973" s="24"/>
      <c r="G973" s="24"/>
      <c r="H973" s="24"/>
      <c r="L973" s="21"/>
      <c r="N973" s="26"/>
      <c r="O973" s="24"/>
      <c r="P973" s="24"/>
      <c r="Q973" s="26"/>
      <c r="R973" s="24"/>
    </row>
    <row r="974" spans="5:18" x14ac:dyDescent="0.25">
      <c r="E974" s="24"/>
      <c r="F974" s="24"/>
      <c r="G974" s="24"/>
      <c r="H974" s="24"/>
      <c r="L974" s="21"/>
      <c r="N974" s="26"/>
      <c r="O974" s="24"/>
      <c r="P974" s="24"/>
      <c r="Q974" s="26"/>
      <c r="R974" s="24"/>
    </row>
    <row r="975" spans="5:18" x14ac:dyDescent="0.25">
      <c r="E975" s="24"/>
      <c r="F975" s="24"/>
      <c r="G975" s="24"/>
      <c r="H975" s="24"/>
      <c r="L975" s="21"/>
      <c r="N975" s="26"/>
      <c r="O975" s="24"/>
      <c r="P975" s="24"/>
      <c r="Q975" s="26"/>
      <c r="R975" s="24"/>
    </row>
    <row r="976" spans="5:18" x14ac:dyDescent="0.25">
      <c r="E976" s="24"/>
      <c r="F976" s="24"/>
      <c r="G976" s="24"/>
      <c r="H976" s="24"/>
      <c r="L976" s="21"/>
      <c r="N976" s="26"/>
      <c r="O976" s="24"/>
      <c r="P976" s="24"/>
      <c r="Q976" s="26"/>
      <c r="R976" s="24"/>
    </row>
    <row r="977" spans="13:13" x14ac:dyDescent="0.25">
      <c r="M977" s="22"/>
    </row>
    <row r="978" spans="13:13" x14ac:dyDescent="0.25">
      <c r="M978" s="22"/>
    </row>
    <row r="979" spans="13:13" x14ac:dyDescent="0.25">
      <c r="M979" s="22"/>
    </row>
    <row r="980" spans="13:13" x14ac:dyDescent="0.25">
      <c r="M980" s="22"/>
    </row>
    <row r="981" spans="13:13" x14ac:dyDescent="0.25">
      <c r="M981" s="22"/>
    </row>
    <row r="982" spans="13:13" x14ac:dyDescent="0.25">
      <c r="M982" s="22"/>
    </row>
    <row r="983" spans="13:13" x14ac:dyDescent="0.25">
      <c r="M983" s="22"/>
    </row>
    <row r="984" spans="13:13" x14ac:dyDescent="0.25">
      <c r="M984" s="22"/>
    </row>
    <row r="985" spans="13:13" x14ac:dyDescent="0.25">
      <c r="M985" s="22"/>
    </row>
    <row r="986" spans="13:13" x14ac:dyDescent="0.25">
      <c r="M986" s="22"/>
    </row>
    <row r="987" spans="13:13" x14ac:dyDescent="0.25">
      <c r="M987" s="22"/>
    </row>
    <row r="988" spans="13:13" x14ac:dyDescent="0.25">
      <c r="M988" s="22"/>
    </row>
    <row r="989" spans="13:13" x14ac:dyDescent="0.25">
      <c r="M989" s="22"/>
    </row>
    <row r="990" spans="13:13" x14ac:dyDescent="0.25">
      <c r="M990" s="22"/>
    </row>
    <row r="991" spans="13:13" x14ac:dyDescent="0.25">
      <c r="M991" s="22"/>
    </row>
    <row r="992" spans="13:13" x14ac:dyDescent="0.25">
      <c r="M992" s="22"/>
    </row>
    <row r="993" spans="13:13" x14ac:dyDescent="0.25">
      <c r="M993" s="22"/>
    </row>
    <row r="994" spans="13:13" x14ac:dyDescent="0.25">
      <c r="M994" s="22"/>
    </row>
    <row r="995" spans="13:13" x14ac:dyDescent="0.25">
      <c r="M995" s="22"/>
    </row>
    <row r="996" spans="13:13" x14ac:dyDescent="0.25">
      <c r="M996" s="22"/>
    </row>
    <row r="997" spans="13:13" x14ac:dyDescent="0.25">
      <c r="M997" s="22"/>
    </row>
    <row r="998" spans="13:13" x14ac:dyDescent="0.25">
      <c r="M998" s="22"/>
    </row>
    <row r="999" spans="13:13" x14ac:dyDescent="0.25">
      <c r="M999" s="22"/>
    </row>
    <row r="1000" spans="13:13" x14ac:dyDescent="0.25">
      <c r="M1000" s="22"/>
    </row>
    <row r="1001" spans="13:13" x14ac:dyDescent="0.25">
      <c r="M1001" s="22"/>
    </row>
    <row r="1002" spans="13:13" x14ac:dyDescent="0.25">
      <c r="M1002" s="22"/>
    </row>
    <row r="1003" spans="13:13" x14ac:dyDescent="0.25">
      <c r="M1003" s="22"/>
    </row>
    <row r="1004" spans="13:13" x14ac:dyDescent="0.25">
      <c r="M1004" s="22"/>
    </row>
    <row r="1005" spans="13:13" x14ac:dyDescent="0.25">
      <c r="M1005" s="22"/>
    </row>
    <row r="1006" spans="13:13" x14ac:dyDescent="0.25">
      <c r="M1006" s="22"/>
    </row>
    <row r="1007" spans="13:13" x14ac:dyDescent="0.25">
      <c r="M1007" s="22"/>
    </row>
    <row r="1008" spans="13:13" x14ac:dyDescent="0.25">
      <c r="M1008" s="22"/>
    </row>
    <row r="1009" spans="13:13" x14ac:dyDescent="0.25">
      <c r="M1009" s="22"/>
    </row>
    <row r="1010" spans="13:13" x14ac:dyDescent="0.25">
      <c r="M1010" s="22"/>
    </row>
    <row r="1011" spans="13:13" x14ac:dyDescent="0.25">
      <c r="M1011" s="22"/>
    </row>
    <row r="1012" spans="13:13" x14ac:dyDescent="0.25">
      <c r="M1012" s="22"/>
    </row>
    <row r="1013" spans="13:13" x14ac:dyDescent="0.25">
      <c r="M1013" s="22"/>
    </row>
    <row r="1014" spans="13:13" x14ac:dyDescent="0.25">
      <c r="M1014" s="22"/>
    </row>
    <row r="1015" spans="13:13" x14ac:dyDescent="0.25">
      <c r="M1015" s="22"/>
    </row>
    <row r="1016" spans="13:13" x14ac:dyDescent="0.25">
      <c r="M1016" s="22"/>
    </row>
    <row r="1017" spans="13:13" x14ac:dyDescent="0.25">
      <c r="M1017" s="22"/>
    </row>
    <row r="1018" spans="13:13" x14ac:dyDescent="0.25">
      <c r="M1018" s="22"/>
    </row>
    <row r="1019" spans="13:13" x14ac:dyDescent="0.25">
      <c r="M1019" s="22"/>
    </row>
    <row r="1020" spans="13:13" x14ac:dyDescent="0.25">
      <c r="M1020" s="22"/>
    </row>
    <row r="1021" spans="13:13" x14ac:dyDescent="0.25">
      <c r="M1021" s="22"/>
    </row>
    <row r="1022" spans="13:13" x14ac:dyDescent="0.25">
      <c r="M1022" s="22"/>
    </row>
    <row r="1023" spans="13:13" x14ac:dyDescent="0.25">
      <c r="M1023" s="22"/>
    </row>
    <row r="1024" spans="13:13" x14ac:dyDescent="0.25">
      <c r="M1024" s="22"/>
    </row>
    <row r="1025" spans="13:13" x14ac:dyDescent="0.25">
      <c r="M1025" s="22"/>
    </row>
    <row r="1026" spans="13:13" x14ac:dyDescent="0.25">
      <c r="M1026" s="22"/>
    </row>
    <row r="1027" spans="13:13" x14ac:dyDescent="0.25">
      <c r="M1027" s="22"/>
    </row>
    <row r="1028" spans="13:13" x14ac:dyDescent="0.25">
      <c r="M1028" s="22"/>
    </row>
    <row r="1029" spans="13:13" x14ac:dyDescent="0.25">
      <c r="M1029" s="22"/>
    </row>
    <row r="1030" spans="13:13" x14ac:dyDescent="0.25">
      <c r="M1030" s="22"/>
    </row>
    <row r="1031" spans="13:13" x14ac:dyDescent="0.25">
      <c r="M1031" s="22"/>
    </row>
    <row r="1032" spans="13:13" x14ac:dyDescent="0.25">
      <c r="M1032" s="22"/>
    </row>
    <row r="1033" spans="13:13" x14ac:dyDescent="0.25">
      <c r="M1033" s="22"/>
    </row>
    <row r="1034" spans="13:13" x14ac:dyDescent="0.25">
      <c r="M1034" s="22"/>
    </row>
    <row r="1035" spans="13:13" x14ac:dyDescent="0.25">
      <c r="M1035" s="22"/>
    </row>
    <row r="1036" spans="13:13" x14ac:dyDescent="0.25">
      <c r="M1036" s="22"/>
    </row>
    <row r="1037" spans="13:13" x14ac:dyDescent="0.25">
      <c r="M1037" s="22"/>
    </row>
    <row r="1038" spans="13:13" x14ac:dyDescent="0.25">
      <c r="M1038" s="22"/>
    </row>
    <row r="1039" spans="13:13" x14ac:dyDescent="0.25">
      <c r="M1039" s="22"/>
    </row>
    <row r="1040" spans="13:13" x14ac:dyDescent="0.25">
      <c r="M1040" s="22"/>
    </row>
    <row r="1041" spans="13:13" x14ac:dyDescent="0.25">
      <c r="M1041" s="22"/>
    </row>
    <row r="1042" spans="13:13" x14ac:dyDescent="0.25">
      <c r="M1042" s="22"/>
    </row>
    <row r="1043" spans="13:13" x14ac:dyDescent="0.25">
      <c r="M1043" s="22"/>
    </row>
    <row r="1044" spans="13:13" x14ac:dyDescent="0.25">
      <c r="M1044" s="22"/>
    </row>
    <row r="1045" spans="13:13" x14ac:dyDescent="0.25">
      <c r="M1045" s="22"/>
    </row>
    <row r="1046" spans="13:13" x14ac:dyDescent="0.25">
      <c r="M1046" s="22"/>
    </row>
    <row r="1047" spans="13:13" x14ac:dyDescent="0.25">
      <c r="M1047" s="22"/>
    </row>
    <row r="1048" spans="13:13" x14ac:dyDescent="0.25">
      <c r="M1048" s="22"/>
    </row>
    <row r="1049" spans="13:13" x14ac:dyDescent="0.25">
      <c r="M1049" s="22"/>
    </row>
    <row r="1050" spans="13:13" x14ac:dyDescent="0.25">
      <c r="M1050" s="22"/>
    </row>
    <row r="1051" spans="13:13" x14ac:dyDescent="0.25">
      <c r="M1051" s="22"/>
    </row>
    <row r="1052" spans="13:13" x14ac:dyDescent="0.25">
      <c r="M1052" s="22"/>
    </row>
    <row r="1053" spans="13:13" x14ac:dyDescent="0.25">
      <c r="M1053" s="22"/>
    </row>
    <row r="1054" spans="13:13" x14ac:dyDescent="0.25">
      <c r="M1054" s="22"/>
    </row>
    <row r="1055" spans="13:13" x14ac:dyDescent="0.25">
      <c r="M1055" s="22"/>
    </row>
    <row r="1056" spans="13:13" x14ac:dyDescent="0.25">
      <c r="M1056" s="22"/>
    </row>
    <row r="1057" spans="13:13" x14ac:dyDescent="0.25">
      <c r="M1057" s="22"/>
    </row>
    <row r="1058" spans="13:13" x14ac:dyDescent="0.25">
      <c r="M1058" s="22"/>
    </row>
    <row r="1059" spans="13:13" x14ac:dyDescent="0.25">
      <c r="M1059" s="22"/>
    </row>
    <row r="1060" spans="13:13" x14ac:dyDescent="0.25">
      <c r="M1060" s="22"/>
    </row>
    <row r="1061" spans="13:13" x14ac:dyDescent="0.25">
      <c r="M1061" s="22"/>
    </row>
    <row r="1062" spans="13:13" x14ac:dyDescent="0.25">
      <c r="M1062" s="22"/>
    </row>
    <row r="1063" spans="13:13" x14ac:dyDescent="0.25">
      <c r="M1063" s="22"/>
    </row>
    <row r="1064" spans="13:13" x14ac:dyDescent="0.25">
      <c r="M1064" s="22"/>
    </row>
    <row r="1065" spans="13:13" x14ac:dyDescent="0.25">
      <c r="M1065" s="22"/>
    </row>
    <row r="1066" spans="13:13" x14ac:dyDescent="0.25">
      <c r="M1066" s="22"/>
    </row>
    <row r="1067" spans="13:13" x14ac:dyDescent="0.25">
      <c r="M1067" s="22"/>
    </row>
    <row r="1068" spans="13:13" x14ac:dyDescent="0.25">
      <c r="M1068" s="22"/>
    </row>
    <row r="1069" spans="13:13" x14ac:dyDescent="0.25">
      <c r="M1069" s="22"/>
    </row>
    <row r="1070" spans="13:13" x14ac:dyDescent="0.25">
      <c r="M1070" s="22"/>
    </row>
    <row r="1071" spans="13:13" x14ac:dyDescent="0.25">
      <c r="M1071" s="22"/>
    </row>
    <row r="1072" spans="13:13" x14ac:dyDescent="0.25">
      <c r="M1072" s="22"/>
    </row>
    <row r="1073" spans="13:13" x14ac:dyDescent="0.25">
      <c r="M1073" s="22"/>
    </row>
    <row r="1074" spans="13:13" x14ac:dyDescent="0.25">
      <c r="M1074" s="22"/>
    </row>
    <row r="1075" spans="13:13" x14ac:dyDescent="0.25">
      <c r="M1075" s="22"/>
    </row>
    <row r="1076" spans="13:13" x14ac:dyDescent="0.25">
      <c r="M1076" s="22"/>
    </row>
    <row r="1077" spans="13:13" x14ac:dyDescent="0.25">
      <c r="M1077" s="22"/>
    </row>
    <row r="1078" spans="13:13" x14ac:dyDescent="0.25">
      <c r="M1078" s="22"/>
    </row>
    <row r="1079" spans="13:13" x14ac:dyDescent="0.25">
      <c r="M1079" s="22"/>
    </row>
    <row r="1080" spans="13:13" x14ac:dyDescent="0.25">
      <c r="M1080" s="22"/>
    </row>
    <row r="1081" spans="13:13" x14ac:dyDescent="0.25">
      <c r="M1081" s="22"/>
    </row>
    <row r="1082" spans="13:13" x14ac:dyDescent="0.25">
      <c r="M1082" s="22"/>
    </row>
    <row r="1083" spans="13:13" x14ac:dyDescent="0.25">
      <c r="M1083" s="22"/>
    </row>
    <row r="1084" spans="13:13" x14ac:dyDescent="0.25">
      <c r="M1084" s="22"/>
    </row>
    <row r="1085" spans="13:13" x14ac:dyDescent="0.25">
      <c r="M1085" s="22"/>
    </row>
    <row r="1086" spans="13:13" x14ac:dyDescent="0.25">
      <c r="M1086" s="22"/>
    </row>
    <row r="1087" spans="13:13" x14ac:dyDescent="0.25">
      <c r="M1087" s="22"/>
    </row>
    <row r="1088" spans="13:13" x14ac:dyDescent="0.25">
      <c r="M1088" s="22"/>
    </row>
    <row r="1089" spans="13:13" x14ac:dyDescent="0.25">
      <c r="M1089" s="22"/>
    </row>
    <row r="1090" spans="13:13" x14ac:dyDescent="0.25">
      <c r="M1090" s="22"/>
    </row>
    <row r="1091" spans="13:13" x14ac:dyDescent="0.25">
      <c r="M1091" s="22"/>
    </row>
    <row r="1092" spans="13:13" x14ac:dyDescent="0.25">
      <c r="M1092" s="22"/>
    </row>
    <row r="1093" spans="13:13" x14ac:dyDescent="0.25">
      <c r="M1093" s="22"/>
    </row>
    <row r="1094" spans="13:13" x14ac:dyDescent="0.25">
      <c r="M1094" s="22"/>
    </row>
    <row r="1095" spans="13:13" x14ac:dyDescent="0.25">
      <c r="M1095" s="22"/>
    </row>
    <row r="1096" spans="13:13" x14ac:dyDescent="0.25">
      <c r="M1096" s="22"/>
    </row>
    <row r="1097" spans="13:13" x14ac:dyDescent="0.25">
      <c r="M1097" s="22"/>
    </row>
    <row r="1098" spans="13:13" x14ac:dyDescent="0.25">
      <c r="M1098" s="22"/>
    </row>
    <row r="1099" spans="13:13" x14ac:dyDescent="0.25">
      <c r="M1099" s="22"/>
    </row>
    <row r="1100" spans="13:13" x14ac:dyDescent="0.25">
      <c r="M1100" s="22"/>
    </row>
    <row r="1101" spans="13:13" x14ac:dyDescent="0.25">
      <c r="M1101" s="22"/>
    </row>
    <row r="1102" spans="13:13" x14ac:dyDescent="0.25">
      <c r="M1102" s="22"/>
    </row>
    <row r="1103" spans="13:13" x14ac:dyDescent="0.25">
      <c r="M1103" s="22"/>
    </row>
    <row r="1104" spans="13:13" x14ac:dyDescent="0.25">
      <c r="M1104" s="22"/>
    </row>
    <row r="1105" spans="13:13" x14ac:dyDescent="0.25">
      <c r="M1105" s="22"/>
    </row>
    <row r="1106" spans="13:13" x14ac:dyDescent="0.25">
      <c r="M1106" s="22"/>
    </row>
    <row r="1107" spans="13:13" x14ac:dyDescent="0.25">
      <c r="M1107" s="22"/>
    </row>
    <row r="1108" spans="13:13" x14ac:dyDescent="0.25">
      <c r="M1108" s="22"/>
    </row>
    <row r="1109" spans="13:13" x14ac:dyDescent="0.25">
      <c r="M1109" s="22"/>
    </row>
    <row r="1110" spans="13:13" x14ac:dyDescent="0.25">
      <c r="M1110" s="22"/>
    </row>
    <row r="1111" spans="13:13" x14ac:dyDescent="0.25">
      <c r="M1111" s="22"/>
    </row>
    <row r="1112" spans="13:13" x14ac:dyDescent="0.25">
      <c r="M1112" s="22"/>
    </row>
    <row r="1113" spans="13:13" x14ac:dyDescent="0.25">
      <c r="M1113" s="22"/>
    </row>
    <row r="1114" spans="13:13" x14ac:dyDescent="0.25">
      <c r="M1114" s="22"/>
    </row>
    <row r="1115" spans="13:13" x14ac:dyDescent="0.25">
      <c r="M1115" s="22"/>
    </row>
    <row r="1116" spans="13:13" x14ac:dyDescent="0.25">
      <c r="M1116" s="22"/>
    </row>
    <row r="1117" spans="13:13" x14ac:dyDescent="0.25">
      <c r="M1117" s="22"/>
    </row>
    <row r="1118" spans="13:13" x14ac:dyDescent="0.25">
      <c r="M1118" s="22"/>
    </row>
    <row r="1119" spans="13:13" x14ac:dyDescent="0.25">
      <c r="M1119" s="22"/>
    </row>
    <row r="1120" spans="13:13" x14ac:dyDescent="0.25">
      <c r="M1120" s="22"/>
    </row>
    <row r="1121" spans="13:13" x14ac:dyDescent="0.25">
      <c r="M1121" s="22"/>
    </row>
    <row r="1122" spans="13:13" x14ac:dyDescent="0.25">
      <c r="M1122" s="22"/>
    </row>
    <row r="1123" spans="13:13" x14ac:dyDescent="0.25">
      <c r="M1123" s="22"/>
    </row>
    <row r="1124" spans="13:13" x14ac:dyDescent="0.25">
      <c r="M1124" s="22"/>
    </row>
    <row r="1125" spans="13:13" x14ac:dyDescent="0.25">
      <c r="M1125" s="22"/>
    </row>
    <row r="1126" spans="13:13" x14ac:dyDescent="0.25">
      <c r="M1126" s="22"/>
    </row>
    <row r="1127" spans="13:13" x14ac:dyDescent="0.25">
      <c r="M1127" s="22"/>
    </row>
    <row r="1128" spans="13:13" x14ac:dyDescent="0.25">
      <c r="M1128" s="22"/>
    </row>
    <row r="1129" spans="13:13" x14ac:dyDescent="0.25">
      <c r="M1129" s="22"/>
    </row>
    <row r="1130" spans="13:13" x14ac:dyDescent="0.25">
      <c r="M1130" s="22"/>
    </row>
    <row r="1131" spans="13:13" x14ac:dyDescent="0.25">
      <c r="M1131" s="22"/>
    </row>
    <row r="1132" spans="13:13" x14ac:dyDescent="0.25">
      <c r="M1132" s="22"/>
    </row>
    <row r="1133" spans="13:13" x14ac:dyDescent="0.25">
      <c r="M1133" s="22"/>
    </row>
    <row r="1134" spans="13:13" x14ac:dyDescent="0.25">
      <c r="M1134" s="22"/>
    </row>
    <row r="1135" spans="13:13" x14ac:dyDescent="0.25">
      <c r="M1135" s="22"/>
    </row>
    <row r="1136" spans="13:13" x14ac:dyDescent="0.25">
      <c r="M1136" s="22"/>
    </row>
    <row r="1137" spans="13:13" x14ac:dyDescent="0.25">
      <c r="M1137" s="22"/>
    </row>
    <row r="1138" spans="13:13" x14ac:dyDescent="0.25">
      <c r="M1138" s="22"/>
    </row>
    <row r="1139" spans="13:13" x14ac:dyDescent="0.25">
      <c r="M1139" s="22"/>
    </row>
    <row r="1140" spans="13:13" x14ac:dyDescent="0.25">
      <c r="M1140" s="22"/>
    </row>
    <row r="1141" spans="13:13" x14ac:dyDescent="0.25">
      <c r="M1141" s="22"/>
    </row>
    <row r="1142" spans="13:13" x14ac:dyDescent="0.25">
      <c r="M1142" s="22"/>
    </row>
    <row r="1143" spans="13:13" x14ac:dyDescent="0.25">
      <c r="M1143" s="22"/>
    </row>
    <row r="1144" spans="13:13" x14ac:dyDescent="0.25">
      <c r="M1144" s="22"/>
    </row>
    <row r="1145" spans="13:13" x14ac:dyDescent="0.25">
      <c r="M1145" s="22"/>
    </row>
    <row r="1146" spans="13:13" x14ac:dyDescent="0.25">
      <c r="M1146" s="22"/>
    </row>
    <row r="1147" spans="13:13" x14ac:dyDescent="0.25">
      <c r="M1147" s="22"/>
    </row>
    <row r="1148" spans="13:13" x14ac:dyDescent="0.25">
      <c r="M1148" s="22"/>
    </row>
    <row r="1149" spans="13:13" x14ac:dyDescent="0.25">
      <c r="M1149" s="22"/>
    </row>
    <row r="1150" spans="13:13" x14ac:dyDescent="0.25">
      <c r="M1150" s="22"/>
    </row>
    <row r="1151" spans="13:13" x14ac:dyDescent="0.25">
      <c r="M1151" s="22"/>
    </row>
    <row r="1152" spans="13:13" x14ac:dyDescent="0.25">
      <c r="M1152" s="22"/>
    </row>
    <row r="1153" spans="13:13" x14ac:dyDescent="0.25">
      <c r="M1153" s="22"/>
    </row>
    <row r="1154" spans="13:13" x14ac:dyDescent="0.25">
      <c r="M1154" s="22"/>
    </row>
    <row r="1155" spans="13:13" x14ac:dyDescent="0.25">
      <c r="M1155" s="22"/>
    </row>
    <row r="1156" spans="13:13" x14ac:dyDescent="0.25">
      <c r="M1156" s="22"/>
    </row>
    <row r="1157" spans="13:13" x14ac:dyDescent="0.25">
      <c r="M1157" s="22"/>
    </row>
    <row r="1158" spans="13:13" x14ac:dyDescent="0.25">
      <c r="M1158" s="22"/>
    </row>
    <row r="1159" spans="13:13" x14ac:dyDescent="0.25">
      <c r="M1159" s="22"/>
    </row>
    <row r="1160" spans="13:13" x14ac:dyDescent="0.25">
      <c r="M1160" s="22"/>
    </row>
    <row r="1161" spans="13:13" x14ac:dyDescent="0.25">
      <c r="M1161" s="22"/>
    </row>
    <row r="1162" spans="13:13" x14ac:dyDescent="0.25">
      <c r="M1162" s="22"/>
    </row>
    <row r="1163" spans="13:13" x14ac:dyDescent="0.25">
      <c r="M1163" s="22"/>
    </row>
    <row r="1164" spans="13:13" x14ac:dyDescent="0.25">
      <c r="M1164" s="22"/>
    </row>
    <row r="1165" spans="13:13" x14ac:dyDescent="0.25">
      <c r="M1165" s="22"/>
    </row>
    <row r="1166" spans="13:13" x14ac:dyDescent="0.25">
      <c r="M1166" s="22"/>
    </row>
    <row r="1167" spans="13:13" x14ac:dyDescent="0.25">
      <c r="M1167" s="22"/>
    </row>
    <row r="1168" spans="13:13" x14ac:dyDescent="0.25">
      <c r="M1168" s="22"/>
    </row>
    <row r="1169" spans="13:13" x14ac:dyDescent="0.25">
      <c r="M1169" s="22"/>
    </row>
    <row r="1170" spans="13:13" x14ac:dyDescent="0.25">
      <c r="M1170" s="22"/>
    </row>
    <row r="1171" spans="13:13" x14ac:dyDescent="0.25">
      <c r="M1171" s="22"/>
    </row>
    <row r="1172" spans="13:13" x14ac:dyDescent="0.25">
      <c r="M1172" s="22"/>
    </row>
    <row r="1173" spans="13:13" x14ac:dyDescent="0.25">
      <c r="M1173" s="22"/>
    </row>
    <row r="1174" spans="13:13" x14ac:dyDescent="0.25">
      <c r="M1174" s="22"/>
    </row>
    <row r="1175" spans="13:13" x14ac:dyDescent="0.25">
      <c r="M1175" s="22"/>
    </row>
    <row r="1176" spans="13:13" x14ac:dyDescent="0.25">
      <c r="M1176" s="22"/>
    </row>
    <row r="1177" spans="13:13" x14ac:dyDescent="0.25">
      <c r="M1177" s="22"/>
    </row>
    <row r="1178" spans="13:13" x14ac:dyDescent="0.25">
      <c r="M1178" s="22"/>
    </row>
    <row r="1179" spans="13:13" x14ac:dyDescent="0.25">
      <c r="M1179" s="22"/>
    </row>
    <row r="1180" spans="13:13" x14ac:dyDescent="0.25">
      <c r="M1180" s="22"/>
    </row>
    <row r="1181" spans="13:13" x14ac:dyDescent="0.25">
      <c r="M1181" s="22"/>
    </row>
    <row r="1182" spans="13:13" x14ac:dyDescent="0.25">
      <c r="M1182" s="22"/>
    </row>
    <row r="1183" spans="13:13" x14ac:dyDescent="0.25">
      <c r="M1183" s="22"/>
    </row>
    <row r="1184" spans="13:13" x14ac:dyDescent="0.25">
      <c r="M1184" s="22"/>
    </row>
    <row r="1185" spans="13:13" x14ac:dyDescent="0.25">
      <c r="M1185" s="22"/>
    </row>
    <row r="1186" spans="13:13" x14ac:dyDescent="0.25">
      <c r="M1186" s="22"/>
    </row>
    <row r="1187" spans="13:13" x14ac:dyDescent="0.25">
      <c r="M1187" s="22"/>
    </row>
    <row r="1188" spans="13:13" x14ac:dyDescent="0.25">
      <c r="M1188" s="22"/>
    </row>
    <row r="1189" spans="13:13" x14ac:dyDescent="0.25">
      <c r="M1189" s="22"/>
    </row>
    <row r="1190" spans="13:13" x14ac:dyDescent="0.25">
      <c r="M1190" s="22"/>
    </row>
    <row r="1191" spans="13:13" x14ac:dyDescent="0.25">
      <c r="M1191" s="22"/>
    </row>
    <row r="1192" spans="13:13" x14ac:dyDescent="0.25">
      <c r="M1192" s="22"/>
    </row>
    <row r="1193" spans="13:13" x14ac:dyDescent="0.25">
      <c r="M1193" s="22"/>
    </row>
    <row r="1194" spans="13:13" x14ac:dyDescent="0.25">
      <c r="M1194" s="22"/>
    </row>
    <row r="1195" spans="13:13" x14ac:dyDescent="0.25">
      <c r="M1195" s="22"/>
    </row>
    <row r="1196" spans="13:13" x14ac:dyDescent="0.25">
      <c r="M1196" s="22"/>
    </row>
    <row r="1197" spans="13:13" x14ac:dyDescent="0.25">
      <c r="M1197" s="22"/>
    </row>
    <row r="1198" spans="13:13" x14ac:dyDescent="0.25">
      <c r="M1198" s="22"/>
    </row>
    <row r="1199" spans="13:13" x14ac:dyDescent="0.25">
      <c r="M1199" s="22"/>
    </row>
    <row r="1200" spans="13:13" x14ac:dyDescent="0.25">
      <c r="M1200" s="22"/>
    </row>
    <row r="1201" spans="13:13" x14ac:dyDescent="0.25">
      <c r="M1201" s="22"/>
    </row>
    <row r="1202" spans="13:13" x14ac:dyDescent="0.25">
      <c r="M1202" s="22"/>
    </row>
    <row r="1203" spans="13:13" x14ac:dyDescent="0.25">
      <c r="M1203" s="22"/>
    </row>
    <row r="1204" spans="13:13" x14ac:dyDescent="0.25">
      <c r="M1204" s="22"/>
    </row>
    <row r="1205" spans="13:13" x14ac:dyDescent="0.25">
      <c r="M1205" s="22"/>
    </row>
    <row r="1206" spans="13:13" x14ac:dyDescent="0.25">
      <c r="M1206" s="22"/>
    </row>
    <row r="1207" spans="13:13" x14ac:dyDescent="0.25">
      <c r="M1207" s="22"/>
    </row>
    <row r="1208" spans="13:13" x14ac:dyDescent="0.25">
      <c r="M1208" s="22"/>
    </row>
    <row r="1209" spans="13:13" x14ac:dyDescent="0.25">
      <c r="M1209" s="22"/>
    </row>
    <row r="1210" spans="13:13" x14ac:dyDescent="0.25">
      <c r="M1210" s="22"/>
    </row>
    <row r="1211" spans="13:13" x14ac:dyDescent="0.25">
      <c r="M1211" s="22"/>
    </row>
    <row r="1212" spans="13:13" x14ac:dyDescent="0.25">
      <c r="M1212" s="22"/>
    </row>
    <row r="1213" spans="13:13" x14ac:dyDescent="0.25">
      <c r="M1213" s="22"/>
    </row>
    <row r="1214" spans="13:13" x14ac:dyDescent="0.25">
      <c r="M1214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Constants</vt:lpstr>
      <vt:lpstr>Input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Bolinches</dc:creator>
  <cp:lastModifiedBy>Antonio Bolinches</cp:lastModifiedBy>
  <dcterms:created xsi:type="dcterms:W3CDTF">2021-01-04T15:08:43Z</dcterms:created>
  <dcterms:modified xsi:type="dcterms:W3CDTF">2021-03-31T12:32:26Z</dcterms:modified>
</cp:coreProperties>
</file>